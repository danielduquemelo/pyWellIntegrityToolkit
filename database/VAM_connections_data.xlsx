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_REPOSITORIES\pyWellIntegrityToolkit\database\"/>
    </mc:Choice>
  </mc:AlternateContent>
  <xr:revisionPtr revIDLastSave="0" documentId="13_ncr:1_{35C4C579-8E97-4D18-9714-DA66FD3ED698}" xr6:coauthVersionLast="47" xr6:coauthVersionMax="47" xr10:uidLastSave="{00000000-0000-0000-0000-000000000000}"/>
  <bookViews>
    <workbookView xWindow="5420" yWindow="1370" windowWidth="28800" windowHeight="17750" xr2:uid="{00000000-000D-0000-FFFF-FFFF00000000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6" i="1" l="1"/>
  <c r="B87" i="1"/>
  <c r="B268" i="1"/>
  <c r="B267" i="1"/>
  <c r="B266" i="1"/>
  <c r="B265" i="1"/>
  <c r="B262" i="1"/>
  <c r="B254" i="1"/>
  <c r="B255" i="1"/>
  <c r="B253" i="1"/>
  <c r="B252" i="1"/>
  <c r="B239" i="1"/>
  <c r="B240" i="1"/>
  <c r="B241" i="1"/>
  <c r="B242" i="1"/>
  <c r="B243" i="1"/>
  <c r="B244" i="1"/>
  <c r="B245" i="1"/>
  <c r="B238" i="1"/>
  <c r="B220" i="1"/>
  <c r="B221" i="1"/>
  <c r="B222" i="1"/>
  <c r="B223" i="1"/>
  <c r="B224" i="1"/>
  <c r="B225" i="1"/>
  <c r="B219" i="1"/>
  <c r="B218" i="1"/>
  <c r="B200" i="1"/>
  <c r="B198" i="1"/>
  <c r="B199" i="1"/>
  <c r="B197" i="1"/>
  <c r="B189" i="1"/>
  <c r="B190" i="1"/>
  <c r="B191" i="1"/>
  <c r="B192" i="1"/>
  <c r="B193" i="1"/>
  <c r="B194" i="1"/>
  <c r="B195" i="1"/>
  <c r="B196" i="1"/>
  <c r="B188" i="1"/>
  <c r="B184" i="1"/>
  <c r="B185" i="1"/>
  <c r="B186" i="1"/>
  <c r="B187" i="1"/>
  <c r="B183" i="1"/>
  <c r="B175" i="1"/>
  <c r="B176" i="1"/>
  <c r="B177" i="1"/>
  <c r="B178" i="1"/>
  <c r="B179" i="1"/>
  <c r="B180" i="1"/>
  <c r="B181" i="1"/>
  <c r="B174" i="1"/>
  <c r="B161" i="1"/>
  <c r="B162" i="1"/>
  <c r="B163" i="1"/>
  <c r="B164" i="1"/>
  <c r="B165" i="1"/>
  <c r="B160" i="1"/>
  <c r="B107" i="1"/>
  <c r="B108" i="1"/>
  <c r="B102" i="1"/>
  <c r="B103" i="1"/>
  <c r="B104" i="1"/>
  <c r="B105" i="1"/>
  <c r="B106" i="1"/>
  <c r="B101" i="1"/>
  <c r="B96" i="1"/>
  <c r="B97" i="1"/>
  <c r="B98" i="1"/>
  <c r="B99" i="1"/>
  <c r="B100" i="1"/>
  <c r="B95" i="1"/>
  <c r="B94" i="1"/>
  <c r="B93" i="1"/>
  <c r="B85" i="1"/>
  <c r="B84" i="1"/>
</calcChain>
</file>

<file path=xl/sharedStrings.xml><?xml version="1.0" encoding="utf-8"?>
<sst xmlns="http://schemas.openxmlformats.org/spreadsheetml/2006/main" count="665" uniqueCount="44">
  <si>
    <t>Connection Type</t>
  </si>
  <si>
    <t>Nominal Weight (lb/ft)</t>
  </si>
  <si>
    <t>Wall Thickness (in)</t>
  </si>
  <si>
    <t>Drift (in)</t>
  </si>
  <si>
    <t>Design</t>
  </si>
  <si>
    <t>Inside Diameter (in)</t>
  </si>
  <si>
    <t>Outside Diameter (in)</t>
  </si>
  <si>
    <t>Coupling Length (in)</t>
  </si>
  <si>
    <t>Make-up Loss (in)</t>
  </si>
  <si>
    <t>Tensile Efficiency (%)</t>
  </si>
  <si>
    <t>Compression Efficiency (%)</t>
  </si>
  <si>
    <t>JYS @80 ksi (kips)</t>
  </si>
  <si>
    <t>JYS @95 ksi (kips)</t>
  </si>
  <si>
    <t>JYS @110 ksi (kips)</t>
  </si>
  <si>
    <t>JYS @125 ksi (kips)</t>
  </si>
  <si>
    <t>VAM21</t>
  </si>
  <si>
    <t>Regular</t>
  </si>
  <si>
    <t>SC78</t>
  </si>
  <si>
    <t>SC77</t>
  </si>
  <si>
    <t>SC76</t>
  </si>
  <si>
    <t>SC75</t>
  </si>
  <si>
    <t>SC80</t>
  </si>
  <si>
    <t>SC90</t>
  </si>
  <si>
    <t>SC84</t>
  </si>
  <si>
    <t>SC73</t>
  </si>
  <si>
    <t>SC70</t>
  </si>
  <si>
    <t>17,00</t>
  </si>
  <si>
    <t>KS</t>
  </si>
  <si>
    <t>KB</t>
  </si>
  <si>
    <t>KA</t>
  </si>
  <si>
    <t>ND</t>
  </si>
  <si>
    <t>NE</t>
  </si>
  <si>
    <t>VAM HP</t>
  </si>
  <si>
    <t>VAM TOP</t>
  </si>
  <si>
    <t>Wall Thickness (mm)</t>
  </si>
  <si>
    <t>Tensile Efficiency with sealability (%)</t>
  </si>
  <si>
    <t>Compression Efficiency with sealability (%)</t>
  </si>
  <si>
    <t>VAM LOX</t>
  </si>
  <si>
    <t>JYS @140 ksi (kips)</t>
  </si>
  <si>
    <t>VAM SLIJ-3</t>
  </si>
  <si>
    <t>Drift CODE</t>
  </si>
  <si>
    <t xml:space="preserve"> A</t>
  </si>
  <si>
    <t xml:space="preserve"> S</t>
  </si>
  <si>
    <t>Size OD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</si>
</sst>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NumberFormat="1" applyBorder="1"/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165" fontId="4" fillId="0" borderId="0" xfId="0" applyNumberFormat="1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0" fontId="4" fillId="0" borderId="0" xfId="0" applyNumberFormat="1" applyFont="1" applyBorder="1" applyAlignment="1">
      <alignment horizontal="center" wrapText="1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165" fontId="4" fillId="0" borderId="0" xfId="0" applyNumberFormat="1" applyFont="1" applyBorder="1" applyAlignment="1">
      <alignment horizontal="center" vertical="center" wrapText="1"/>
    </xf>
    <xf numFmtId="2" fontId="4" fillId="0" borderId="0" xfId="0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0"/>
  <sheetViews>
    <sheetView tabSelected="1" zoomScale="115" zoomScaleNormal="115" workbookViewId="0">
      <pane ySplit="1" topLeftCell="A234" activePane="bottomLeft" state="frozen"/>
      <selection pane="bottomLeft" activeCell="E241" sqref="E241"/>
    </sheetView>
  </sheetViews>
  <sheetFormatPr defaultColWidth="12.1796875" defaultRowHeight="14.5" x14ac:dyDescent="0.35"/>
  <cols>
    <col min="1" max="1" width="12.1796875" style="5"/>
    <col min="2" max="2" width="12.1796875" style="6"/>
    <col min="3" max="16384" width="12.1796875" style="5"/>
  </cols>
  <sheetData>
    <row r="1" spans="1:21" s="4" customFormat="1" ht="46.25" customHeight="1" x14ac:dyDescent="0.35">
      <c r="A1" s="1" t="s">
        <v>0</v>
      </c>
      <c r="B1" s="2" t="s">
        <v>43</v>
      </c>
      <c r="C1" s="1" t="s">
        <v>1</v>
      </c>
      <c r="D1" s="1" t="s">
        <v>2</v>
      </c>
      <c r="E1" s="3" t="s">
        <v>34</v>
      </c>
      <c r="F1" s="1" t="s">
        <v>3</v>
      </c>
      <c r="G1" s="1" t="s">
        <v>40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3" t="s">
        <v>35</v>
      </c>
      <c r="O1" s="1" t="s">
        <v>10</v>
      </c>
      <c r="P1" s="3" t="s">
        <v>36</v>
      </c>
      <c r="Q1" s="1" t="s">
        <v>11</v>
      </c>
      <c r="R1" s="1" t="s">
        <v>12</v>
      </c>
      <c r="S1" s="1" t="s">
        <v>13</v>
      </c>
      <c r="T1" s="1" t="s">
        <v>14</v>
      </c>
      <c r="U1" s="3" t="s">
        <v>38</v>
      </c>
    </row>
    <row r="2" spans="1:21" s="7" customFormat="1" x14ac:dyDescent="0.35">
      <c r="A2" s="7" t="s">
        <v>15</v>
      </c>
      <c r="B2" s="8">
        <v>3.5</v>
      </c>
      <c r="C2" s="7">
        <v>9.1999999999999993</v>
      </c>
      <c r="D2" s="7">
        <v>0.254</v>
      </c>
      <c r="E2" s="7">
        <v>0.254</v>
      </c>
      <c r="F2" s="9">
        <v>2.9</v>
      </c>
      <c r="G2" s="9" t="s">
        <v>42</v>
      </c>
      <c r="H2" s="7" t="s">
        <v>16</v>
      </c>
      <c r="I2" s="10">
        <v>2.9609999999999999</v>
      </c>
      <c r="J2" s="10">
        <v>3.93</v>
      </c>
      <c r="K2" s="10">
        <v>7.9139999999999997</v>
      </c>
      <c r="L2" s="10">
        <v>3.4689999999999999</v>
      </c>
      <c r="M2" s="11"/>
      <c r="N2" s="7">
        <v>100</v>
      </c>
      <c r="P2" s="7">
        <v>100</v>
      </c>
      <c r="Q2" s="12">
        <v>207</v>
      </c>
      <c r="R2" s="12">
        <v>246</v>
      </c>
      <c r="S2" s="12">
        <v>285</v>
      </c>
      <c r="T2" s="12">
        <v>324</v>
      </c>
      <c r="U2" s="12"/>
    </row>
    <row r="3" spans="1:21" s="7" customFormat="1" x14ac:dyDescent="0.35">
      <c r="A3" s="7" t="s">
        <v>15</v>
      </c>
      <c r="B3" s="8">
        <v>3.6</v>
      </c>
      <c r="C3" s="7">
        <v>10.199999999999999</v>
      </c>
      <c r="D3" s="7">
        <v>0.28899999999999998</v>
      </c>
      <c r="E3" s="7">
        <v>7.34</v>
      </c>
      <c r="F3" s="9">
        <v>2.7970000000000002</v>
      </c>
      <c r="G3" s="9"/>
      <c r="H3" s="7" t="s">
        <v>16</v>
      </c>
      <c r="I3" s="10">
        <v>2.87</v>
      </c>
      <c r="J3" s="10">
        <v>3.9830000000000001</v>
      </c>
      <c r="K3" s="10">
        <v>7.9139999999999997</v>
      </c>
      <c r="L3" s="10">
        <v>3.4689999999999999</v>
      </c>
      <c r="M3" s="11"/>
      <c r="N3" s="7">
        <v>100</v>
      </c>
      <c r="P3" s="7">
        <v>100</v>
      </c>
      <c r="Q3" s="12">
        <v>233</v>
      </c>
      <c r="R3" s="12">
        <v>277</v>
      </c>
      <c r="S3" s="12">
        <v>321</v>
      </c>
      <c r="T3" s="12">
        <v>364</v>
      </c>
      <c r="U3" s="12"/>
    </row>
    <row r="4" spans="1:21" s="7" customFormat="1" x14ac:dyDescent="0.35">
      <c r="A4" s="7" t="s">
        <v>15</v>
      </c>
      <c r="B4" s="8">
        <v>3.7</v>
      </c>
      <c r="C4" s="7">
        <v>12.7</v>
      </c>
      <c r="D4" s="7">
        <v>0.375</v>
      </c>
      <c r="E4" s="7">
        <v>9.52</v>
      </c>
      <c r="F4" s="9">
        <v>2.625</v>
      </c>
      <c r="G4" s="9"/>
      <c r="H4" s="7" t="s">
        <v>16</v>
      </c>
      <c r="I4" s="10">
        <v>2.706</v>
      </c>
      <c r="J4" s="10">
        <v>4.1070000000000002</v>
      </c>
      <c r="K4" s="10">
        <v>7.9139999999999997</v>
      </c>
      <c r="L4" s="10">
        <v>3.4689999999999999</v>
      </c>
      <c r="M4" s="11"/>
      <c r="N4" s="7">
        <v>100</v>
      </c>
      <c r="P4" s="7">
        <v>100</v>
      </c>
      <c r="Q4" s="12">
        <v>295</v>
      </c>
      <c r="R4" s="12">
        <v>350</v>
      </c>
      <c r="S4" s="12">
        <v>405</v>
      </c>
      <c r="T4" s="12">
        <v>460</v>
      </c>
      <c r="U4" s="12"/>
    </row>
    <row r="5" spans="1:21" s="7" customFormat="1" x14ac:dyDescent="0.35">
      <c r="A5" s="7" t="s">
        <v>15</v>
      </c>
      <c r="B5" s="8">
        <v>4.5</v>
      </c>
      <c r="C5" s="7">
        <v>11.6</v>
      </c>
      <c r="D5" s="7">
        <v>0.25</v>
      </c>
      <c r="E5" s="7">
        <v>6.35</v>
      </c>
      <c r="F5" s="9">
        <v>3.88</v>
      </c>
      <c r="G5" s="9" t="s">
        <v>42</v>
      </c>
      <c r="H5" s="7" t="s">
        <v>16</v>
      </c>
      <c r="I5" s="10">
        <v>3.9420000000000002</v>
      </c>
      <c r="J5" s="10">
        <v>4.9340000000000002</v>
      </c>
      <c r="K5" s="10">
        <v>8.15</v>
      </c>
      <c r="L5" s="10">
        <v>3.5870000000000002</v>
      </c>
      <c r="M5" s="11"/>
      <c r="N5" s="7">
        <v>100</v>
      </c>
      <c r="P5" s="7">
        <v>100</v>
      </c>
      <c r="Q5" s="12">
        <v>267</v>
      </c>
      <c r="R5" s="12">
        <v>317</v>
      </c>
      <c r="S5" s="12">
        <v>367</v>
      </c>
      <c r="T5" s="12">
        <v>417</v>
      </c>
      <c r="U5" s="12"/>
    </row>
    <row r="6" spans="1:21" s="7" customFormat="1" x14ac:dyDescent="0.35">
      <c r="A6" s="7" t="s">
        <v>15</v>
      </c>
      <c r="B6" s="8">
        <v>4.5999999999999996</v>
      </c>
      <c r="C6" s="7">
        <v>12.6</v>
      </c>
      <c r="D6" s="7">
        <v>0.27100000000000002</v>
      </c>
      <c r="E6" s="7">
        <v>6.88</v>
      </c>
      <c r="F6" s="9">
        <v>3.88</v>
      </c>
      <c r="G6" s="9" t="s">
        <v>42</v>
      </c>
      <c r="H6" s="7" t="s">
        <v>16</v>
      </c>
      <c r="I6" s="10">
        <v>3.9420000000000002</v>
      </c>
      <c r="J6" s="10">
        <v>4.9690000000000003</v>
      </c>
      <c r="K6" s="10">
        <v>8.15</v>
      </c>
      <c r="L6" s="10">
        <v>3.5870000000000002</v>
      </c>
      <c r="M6" s="11"/>
      <c r="N6" s="7">
        <v>100</v>
      </c>
      <c r="P6" s="7">
        <v>100</v>
      </c>
      <c r="Q6" s="12">
        <v>288</v>
      </c>
      <c r="R6" s="12">
        <v>342</v>
      </c>
      <c r="S6" s="12">
        <v>396</v>
      </c>
      <c r="T6" s="12">
        <v>450</v>
      </c>
      <c r="U6" s="12"/>
    </row>
    <row r="7" spans="1:21" s="7" customFormat="1" x14ac:dyDescent="0.35">
      <c r="A7" s="7" t="s">
        <v>15</v>
      </c>
      <c r="B7" s="8">
        <v>4.7</v>
      </c>
      <c r="C7" s="7">
        <v>13.5</v>
      </c>
      <c r="D7" s="7">
        <v>0.28999999999999998</v>
      </c>
      <c r="E7" s="7">
        <v>7.37</v>
      </c>
      <c r="F7" s="9">
        <v>3.8450000000000002</v>
      </c>
      <c r="G7" s="9" t="s">
        <v>42</v>
      </c>
      <c r="H7" s="7" t="s">
        <v>16</v>
      </c>
      <c r="I7" s="10">
        <v>3.907</v>
      </c>
      <c r="J7" s="10">
        <v>4.9989999999999997</v>
      </c>
      <c r="K7" s="10">
        <v>8.15</v>
      </c>
      <c r="L7" s="10">
        <v>3.5870000000000002</v>
      </c>
      <c r="M7" s="11"/>
      <c r="N7" s="7">
        <v>100</v>
      </c>
      <c r="P7" s="7">
        <v>100</v>
      </c>
      <c r="Q7" s="12">
        <v>307</v>
      </c>
      <c r="R7" s="12">
        <v>364</v>
      </c>
      <c r="S7" s="12">
        <v>422</v>
      </c>
      <c r="T7" s="12">
        <v>480</v>
      </c>
      <c r="U7" s="12"/>
    </row>
    <row r="8" spans="1:21" s="7" customFormat="1" x14ac:dyDescent="0.35">
      <c r="A8" s="7" t="s">
        <v>15</v>
      </c>
      <c r="B8" s="8">
        <v>4.8</v>
      </c>
      <c r="C8" s="7">
        <v>15.1</v>
      </c>
      <c r="D8" s="7">
        <v>0.33700000000000002</v>
      </c>
      <c r="E8" s="7">
        <v>8.56</v>
      </c>
      <c r="F8" s="9">
        <v>3.75</v>
      </c>
      <c r="G8" s="9" t="s">
        <v>42</v>
      </c>
      <c r="H8" s="7" t="s">
        <v>16</v>
      </c>
      <c r="I8" s="10">
        <v>3.8119999999999998</v>
      </c>
      <c r="J8" s="10">
        <v>5.0730000000000004</v>
      </c>
      <c r="K8" s="10">
        <v>8.15</v>
      </c>
      <c r="L8" s="10">
        <v>3.5870000000000002</v>
      </c>
      <c r="M8" s="11"/>
      <c r="N8" s="7">
        <v>100</v>
      </c>
      <c r="P8" s="7">
        <v>100</v>
      </c>
      <c r="Q8" s="12">
        <v>353</v>
      </c>
      <c r="R8" s="12">
        <v>419</v>
      </c>
      <c r="S8" s="12">
        <v>485</v>
      </c>
      <c r="T8" s="12">
        <v>551</v>
      </c>
      <c r="U8" s="12"/>
    </row>
    <row r="9" spans="1:21" s="7" customFormat="1" x14ac:dyDescent="0.35">
      <c r="A9" s="7" t="s">
        <v>15</v>
      </c>
      <c r="B9" s="8">
        <v>4.9000000000000004</v>
      </c>
      <c r="C9" s="7">
        <v>17</v>
      </c>
      <c r="D9" s="7">
        <v>0.38</v>
      </c>
      <c r="E9" s="7">
        <v>9.65</v>
      </c>
      <c r="F9" s="9">
        <v>3.6150000000000002</v>
      </c>
      <c r="G9" s="9"/>
      <c r="H9" s="7" t="s">
        <v>16</v>
      </c>
      <c r="I9" s="10">
        <v>3.7440000000000002</v>
      </c>
      <c r="J9" s="10">
        <v>5.117</v>
      </c>
      <c r="K9" s="10">
        <v>9.016</v>
      </c>
      <c r="L9" s="10">
        <v>4.0199999999999996</v>
      </c>
      <c r="M9" s="11"/>
      <c r="N9" s="7">
        <v>100</v>
      </c>
      <c r="P9" s="7">
        <v>100</v>
      </c>
      <c r="Q9" s="12">
        <v>393</v>
      </c>
      <c r="R9" s="12">
        <v>467</v>
      </c>
      <c r="S9" s="12">
        <v>541</v>
      </c>
      <c r="T9" s="12">
        <v>615</v>
      </c>
      <c r="U9" s="12"/>
    </row>
    <row r="10" spans="1:21" s="7" customFormat="1" x14ac:dyDescent="0.35">
      <c r="A10" s="7" t="s">
        <v>15</v>
      </c>
      <c r="B10" s="8">
        <v>4.0999999999999996</v>
      </c>
      <c r="C10" s="7">
        <v>18.899999999999999</v>
      </c>
      <c r="D10" s="7">
        <v>0.43</v>
      </c>
      <c r="E10" s="7">
        <v>10.92</v>
      </c>
      <c r="F10" s="9">
        <v>3.54</v>
      </c>
      <c r="G10" s="9" t="s">
        <v>42</v>
      </c>
      <c r="H10" s="7" t="s">
        <v>16</v>
      </c>
      <c r="I10" s="10">
        <v>3.7010000000000001</v>
      </c>
      <c r="J10" s="10">
        <v>5.1890000000000001</v>
      </c>
      <c r="K10" s="10">
        <v>9.016</v>
      </c>
      <c r="L10" s="10">
        <v>4.0199999999999996</v>
      </c>
      <c r="M10" s="11"/>
      <c r="N10" s="7">
        <v>100</v>
      </c>
      <c r="P10" s="7">
        <v>100</v>
      </c>
      <c r="Q10" s="12">
        <v>440</v>
      </c>
      <c r="R10" s="12">
        <v>522</v>
      </c>
      <c r="S10" s="12">
        <v>605</v>
      </c>
      <c r="T10" s="12">
        <v>687</v>
      </c>
      <c r="U10" s="12"/>
    </row>
    <row r="11" spans="1:21" s="7" customFormat="1" x14ac:dyDescent="0.35">
      <c r="A11" s="7" t="s">
        <v>15</v>
      </c>
      <c r="B11" s="8">
        <v>4.1100000000000003</v>
      </c>
      <c r="C11" s="7">
        <v>21.5</v>
      </c>
      <c r="D11" s="7">
        <v>0.5</v>
      </c>
      <c r="E11" s="7">
        <v>12.7</v>
      </c>
      <c r="F11" s="9">
        <v>3.375</v>
      </c>
      <c r="G11" s="9"/>
      <c r="H11" s="7" t="s">
        <v>16</v>
      </c>
      <c r="I11" s="10">
        <v>3.5659999999999998</v>
      </c>
      <c r="J11" s="10">
        <v>5.2640000000000002</v>
      </c>
      <c r="K11" s="10">
        <v>10.039999999999999</v>
      </c>
      <c r="L11" s="10">
        <v>4.532</v>
      </c>
      <c r="M11" s="11"/>
      <c r="N11" s="7">
        <v>100</v>
      </c>
      <c r="P11" s="7">
        <v>100</v>
      </c>
      <c r="Q11" s="12">
        <v>503</v>
      </c>
      <c r="R11" s="12">
        <v>597</v>
      </c>
      <c r="S11" s="12">
        <v>691</v>
      </c>
      <c r="T11" s="12">
        <v>785</v>
      </c>
      <c r="U11" s="12"/>
    </row>
    <row r="12" spans="1:21" s="7" customFormat="1" x14ac:dyDescent="0.35">
      <c r="A12" s="7" t="s">
        <v>15</v>
      </c>
      <c r="B12" s="8">
        <v>5</v>
      </c>
      <c r="C12" s="7">
        <v>18</v>
      </c>
      <c r="D12" s="7">
        <v>0.36199999999999999</v>
      </c>
      <c r="E12" s="7">
        <v>9.19</v>
      </c>
      <c r="F12" s="9">
        <v>4.1509999999999998</v>
      </c>
      <c r="G12" s="9"/>
      <c r="H12" s="7" t="s">
        <v>16</v>
      </c>
      <c r="I12" s="10">
        <v>4.2939999999999996</v>
      </c>
      <c r="J12" s="10">
        <v>5.6050000000000004</v>
      </c>
      <c r="K12" s="10">
        <v>9.1340000000000003</v>
      </c>
      <c r="L12" s="10">
        <v>4.0789999999999997</v>
      </c>
      <c r="M12" s="11"/>
      <c r="N12" s="7">
        <v>100</v>
      </c>
      <c r="P12" s="7">
        <v>100</v>
      </c>
      <c r="Q12" s="12">
        <v>422</v>
      </c>
      <c r="R12" s="12">
        <v>501</v>
      </c>
      <c r="S12" s="12">
        <v>580</v>
      </c>
      <c r="T12" s="12">
        <v>659</v>
      </c>
      <c r="U12" s="12"/>
    </row>
    <row r="13" spans="1:21" s="7" customFormat="1" x14ac:dyDescent="0.35">
      <c r="A13" s="7" t="s">
        <v>15</v>
      </c>
      <c r="B13" s="8">
        <v>5</v>
      </c>
      <c r="C13" s="7">
        <v>21.4</v>
      </c>
      <c r="D13" s="7">
        <v>0.437</v>
      </c>
      <c r="E13" s="7">
        <v>11.1</v>
      </c>
      <c r="F13" s="9">
        <v>4.0010000000000003</v>
      </c>
      <c r="G13" s="9"/>
      <c r="H13" s="7" t="s">
        <v>16</v>
      </c>
      <c r="I13" s="10">
        <v>4.1260000000000003</v>
      </c>
      <c r="J13" s="10">
        <v>5.6989999999999998</v>
      </c>
      <c r="K13" s="10">
        <v>9.9220000000000006</v>
      </c>
      <c r="L13" s="10">
        <v>4.4729999999999999</v>
      </c>
      <c r="M13" s="11"/>
      <c r="N13" s="7">
        <v>100</v>
      </c>
      <c r="P13" s="7">
        <v>100</v>
      </c>
      <c r="Q13" s="12">
        <v>501</v>
      </c>
      <c r="R13" s="12">
        <v>595</v>
      </c>
      <c r="S13" s="12">
        <v>689</v>
      </c>
      <c r="T13" s="12">
        <v>783</v>
      </c>
      <c r="U13" s="12"/>
    </row>
    <row r="14" spans="1:21" s="7" customFormat="1" x14ac:dyDescent="0.35">
      <c r="A14" s="7" t="s">
        <v>15</v>
      </c>
      <c r="B14" s="8">
        <v>5</v>
      </c>
      <c r="C14" s="7">
        <v>23.2</v>
      </c>
      <c r="D14" s="7">
        <v>0.47799999999999998</v>
      </c>
      <c r="E14" s="7">
        <v>12.14</v>
      </c>
      <c r="F14" s="9">
        <v>3.919</v>
      </c>
      <c r="G14" s="9"/>
      <c r="H14" s="7" t="s">
        <v>16</v>
      </c>
      <c r="I14" s="10">
        <v>4.0890000000000004</v>
      </c>
      <c r="J14" s="10">
        <v>5.758</v>
      </c>
      <c r="K14" s="10">
        <v>9.9220000000000006</v>
      </c>
      <c r="L14" s="10">
        <v>4.4729999999999999</v>
      </c>
      <c r="M14" s="11"/>
      <c r="N14" s="7">
        <v>100</v>
      </c>
      <c r="P14" s="7">
        <v>100</v>
      </c>
      <c r="Q14" s="12">
        <v>543</v>
      </c>
      <c r="R14" s="12">
        <v>645</v>
      </c>
      <c r="S14" s="12">
        <v>747</v>
      </c>
      <c r="T14" s="12">
        <v>849</v>
      </c>
      <c r="U14" s="12"/>
    </row>
    <row r="15" spans="1:21" s="7" customFormat="1" x14ac:dyDescent="0.35">
      <c r="A15" s="7" t="s">
        <v>15</v>
      </c>
      <c r="B15" s="8">
        <v>5</v>
      </c>
      <c r="C15" s="7">
        <v>24.1</v>
      </c>
      <c r="D15" s="7">
        <v>0.5</v>
      </c>
      <c r="E15" s="7">
        <v>12.7</v>
      </c>
      <c r="F15" s="9">
        <v>3.875</v>
      </c>
      <c r="G15" s="9"/>
      <c r="H15" s="7" t="s">
        <v>16</v>
      </c>
      <c r="I15" s="10">
        <v>4.069</v>
      </c>
      <c r="J15" s="10">
        <v>5.79</v>
      </c>
      <c r="K15" s="10">
        <v>9.9220000000000006</v>
      </c>
      <c r="L15" s="10">
        <v>4.4729999999999999</v>
      </c>
      <c r="M15" s="11"/>
      <c r="N15" s="7">
        <v>100</v>
      </c>
      <c r="P15" s="7">
        <v>100</v>
      </c>
      <c r="Q15" s="12">
        <v>566</v>
      </c>
      <c r="R15" s="12">
        <v>672</v>
      </c>
      <c r="S15" s="12">
        <v>778</v>
      </c>
      <c r="T15" s="12">
        <v>884</v>
      </c>
      <c r="U15" s="12"/>
    </row>
    <row r="16" spans="1:21" s="7" customFormat="1" x14ac:dyDescent="0.35">
      <c r="A16" s="7" t="s">
        <v>15</v>
      </c>
      <c r="B16" s="8">
        <v>5.5</v>
      </c>
      <c r="C16" s="7">
        <v>17</v>
      </c>
      <c r="D16" s="7">
        <v>0.30399999999999999</v>
      </c>
      <c r="E16" s="7">
        <v>7.72</v>
      </c>
      <c r="F16" s="9">
        <v>4.7670000000000003</v>
      </c>
      <c r="G16" s="9"/>
      <c r="H16" s="7" t="s">
        <v>16</v>
      </c>
      <c r="I16" s="10">
        <v>4.891</v>
      </c>
      <c r="J16" s="10">
        <v>6.0179999999999998</v>
      </c>
      <c r="K16" s="10">
        <v>9.1340000000000003</v>
      </c>
      <c r="L16" s="10">
        <v>4.0789999999999997</v>
      </c>
      <c r="M16" s="11"/>
      <c r="N16" s="7">
        <v>100</v>
      </c>
      <c r="P16" s="7">
        <v>100</v>
      </c>
      <c r="Q16" s="12">
        <v>397</v>
      </c>
      <c r="R16" s="12">
        <v>471</v>
      </c>
      <c r="S16" s="12">
        <v>546</v>
      </c>
      <c r="T16" s="12">
        <v>620</v>
      </c>
      <c r="U16" s="12"/>
    </row>
    <row r="17" spans="1:21" s="7" customFormat="1" x14ac:dyDescent="0.35">
      <c r="A17" s="7" t="s">
        <v>15</v>
      </c>
      <c r="B17" s="8">
        <v>5.6</v>
      </c>
      <c r="C17" s="7">
        <v>20</v>
      </c>
      <c r="D17" s="7">
        <v>0.36099999999999999</v>
      </c>
      <c r="E17" s="7">
        <v>9.17</v>
      </c>
      <c r="F17" s="9">
        <v>4.7</v>
      </c>
      <c r="G17" s="9" t="s">
        <v>42</v>
      </c>
      <c r="H17" s="7" t="s">
        <v>16</v>
      </c>
      <c r="I17" s="10">
        <v>4.806</v>
      </c>
      <c r="J17" s="10">
        <v>6.1109999999999998</v>
      </c>
      <c r="K17" s="10">
        <v>9.1340000000000003</v>
      </c>
      <c r="L17" s="10">
        <v>4.0789999999999997</v>
      </c>
      <c r="M17" s="11"/>
      <c r="N17" s="7">
        <v>100</v>
      </c>
      <c r="P17" s="7">
        <v>100</v>
      </c>
      <c r="Q17" s="12">
        <v>466</v>
      </c>
      <c r="R17" s="12">
        <v>554</v>
      </c>
      <c r="S17" s="12">
        <v>641</v>
      </c>
      <c r="T17" s="12">
        <v>729</v>
      </c>
      <c r="U17" s="12"/>
    </row>
    <row r="18" spans="1:21" s="7" customFormat="1" x14ac:dyDescent="0.35">
      <c r="A18" s="7" t="s">
        <v>15</v>
      </c>
      <c r="B18" s="8">
        <v>5.7</v>
      </c>
      <c r="C18" s="7">
        <v>23</v>
      </c>
      <c r="D18" s="7">
        <v>0.41499999999999998</v>
      </c>
      <c r="E18" s="7">
        <v>10.54</v>
      </c>
      <c r="F18" s="9">
        <v>4.5449999999999999</v>
      </c>
      <c r="G18" s="9"/>
      <c r="H18" s="7" t="s">
        <v>16</v>
      </c>
      <c r="I18" s="10">
        <v>4.72</v>
      </c>
      <c r="J18" s="10">
        <v>6.1950000000000003</v>
      </c>
      <c r="K18" s="10">
        <v>9.1340000000000003</v>
      </c>
      <c r="L18" s="10">
        <v>4.0789999999999997</v>
      </c>
      <c r="M18" s="11"/>
      <c r="N18" s="7">
        <v>100</v>
      </c>
      <c r="P18" s="7">
        <v>100</v>
      </c>
      <c r="Q18" s="12">
        <v>530</v>
      </c>
      <c r="R18" s="12">
        <v>630</v>
      </c>
      <c r="S18" s="12">
        <v>729</v>
      </c>
      <c r="T18" s="12">
        <v>829</v>
      </c>
      <c r="U18" s="12"/>
    </row>
    <row r="19" spans="1:21" s="7" customFormat="1" x14ac:dyDescent="0.35">
      <c r="A19" s="7" t="s">
        <v>15</v>
      </c>
      <c r="B19" s="8">
        <v>5.8</v>
      </c>
      <c r="C19" s="7">
        <v>26</v>
      </c>
      <c r="D19" s="7">
        <v>0.47599999999999998</v>
      </c>
      <c r="E19" s="7">
        <v>12.09</v>
      </c>
      <c r="F19" s="9">
        <v>4.423</v>
      </c>
      <c r="G19" s="9"/>
      <c r="H19" s="7" t="s">
        <v>16</v>
      </c>
      <c r="I19" s="10">
        <v>4.6150000000000002</v>
      </c>
      <c r="J19" s="10">
        <v>6.2679999999999998</v>
      </c>
      <c r="K19" s="10">
        <v>9.9220000000000006</v>
      </c>
      <c r="L19" s="10">
        <v>4.4729999999999999</v>
      </c>
      <c r="M19" s="11"/>
      <c r="N19" s="7">
        <v>100</v>
      </c>
      <c r="P19" s="7">
        <v>100</v>
      </c>
      <c r="Q19" s="12">
        <v>601</v>
      </c>
      <c r="R19" s="12">
        <v>714</v>
      </c>
      <c r="S19" s="12">
        <v>826</v>
      </c>
      <c r="T19" s="12">
        <v>939</v>
      </c>
      <c r="U19" s="12"/>
    </row>
    <row r="20" spans="1:21" s="7" customFormat="1" x14ac:dyDescent="0.35">
      <c r="A20" s="7" t="s">
        <v>15</v>
      </c>
      <c r="B20" s="8">
        <v>5.9</v>
      </c>
      <c r="C20" s="7">
        <v>26.8</v>
      </c>
      <c r="D20" s="7">
        <v>0.5</v>
      </c>
      <c r="E20" s="7">
        <v>12.7</v>
      </c>
      <c r="F20" s="9">
        <v>4.375</v>
      </c>
      <c r="G20" s="9"/>
      <c r="H20" s="7" t="s">
        <v>16</v>
      </c>
      <c r="I20" s="10">
        <v>4.593</v>
      </c>
      <c r="J20" s="10">
        <v>6.3040000000000003</v>
      </c>
      <c r="K20" s="10">
        <v>9.9220000000000006</v>
      </c>
      <c r="L20" s="10">
        <v>4.4729999999999999</v>
      </c>
      <c r="M20" s="11"/>
      <c r="N20" s="7">
        <v>100</v>
      </c>
      <c r="P20" s="7">
        <v>100</v>
      </c>
      <c r="Q20" s="12">
        <v>628</v>
      </c>
      <c r="R20" s="12">
        <v>746</v>
      </c>
      <c r="S20" s="12">
        <v>864</v>
      </c>
      <c r="T20" s="12">
        <v>982</v>
      </c>
      <c r="U20" s="12"/>
    </row>
    <row r="21" spans="1:21" s="7" customFormat="1" x14ac:dyDescent="0.35">
      <c r="A21" s="7" t="s">
        <v>15</v>
      </c>
      <c r="B21" s="8">
        <v>5.0999999999999996</v>
      </c>
      <c r="C21" s="7">
        <v>28.4</v>
      </c>
      <c r="D21" s="7">
        <v>0.53</v>
      </c>
      <c r="E21" s="7">
        <v>13.46</v>
      </c>
      <c r="F21" s="9">
        <v>4.3150000000000004</v>
      </c>
      <c r="G21" s="9"/>
      <c r="H21" s="7" t="s">
        <v>16</v>
      </c>
      <c r="I21" s="10">
        <v>4.5199999999999996</v>
      </c>
      <c r="J21" s="10">
        <v>6.3289999999999997</v>
      </c>
      <c r="K21" s="10">
        <v>10.709</v>
      </c>
      <c r="L21" s="10">
        <v>4.8540000000000001</v>
      </c>
      <c r="M21" s="11"/>
      <c r="N21" s="7">
        <v>100</v>
      </c>
      <c r="P21" s="7">
        <v>100</v>
      </c>
      <c r="Q21" s="12">
        <v>662</v>
      </c>
      <c r="R21" s="12">
        <v>786</v>
      </c>
      <c r="S21" s="12">
        <v>910</v>
      </c>
      <c r="T21" s="12">
        <v>1034</v>
      </c>
      <c r="U21" s="12"/>
    </row>
    <row r="22" spans="1:21" s="7" customFormat="1" x14ac:dyDescent="0.35">
      <c r="A22" s="7" t="s">
        <v>15</v>
      </c>
      <c r="B22" s="8">
        <v>5.1100000000000003</v>
      </c>
      <c r="C22" s="7">
        <v>29.7</v>
      </c>
      <c r="D22" s="7">
        <v>0.56200000000000006</v>
      </c>
      <c r="E22" s="7">
        <v>14.27</v>
      </c>
      <c r="F22" s="9">
        <v>4.2510000000000003</v>
      </c>
      <c r="G22" s="9"/>
      <c r="H22" s="7" t="s">
        <v>16</v>
      </c>
      <c r="I22" s="10">
        <v>4.4610000000000003</v>
      </c>
      <c r="J22" s="10">
        <v>6.375</v>
      </c>
      <c r="K22" s="10">
        <v>10.709</v>
      </c>
      <c r="L22" s="10">
        <v>4.8540000000000001</v>
      </c>
      <c r="M22" s="11"/>
      <c r="N22" s="7">
        <v>100</v>
      </c>
      <c r="P22" s="7">
        <v>100</v>
      </c>
      <c r="Q22" s="12">
        <v>697</v>
      </c>
      <c r="R22" s="12">
        <v>828</v>
      </c>
      <c r="S22" s="12">
        <v>959</v>
      </c>
      <c r="T22" s="12">
        <v>1090</v>
      </c>
      <c r="U22" s="12"/>
    </row>
    <row r="23" spans="1:21" s="7" customFormat="1" x14ac:dyDescent="0.35">
      <c r="A23" s="7" t="s">
        <v>15</v>
      </c>
      <c r="B23" s="8">
        <v>6.625</v>
      </c>
      <c r="C23" s="7">
        <v>23.2</v>
      </c>
      <c r="D23" s="7">
        <v>0.33</v>
      </c>
      <c r="E23" s="7">
        <v>8.3800000000000008</v>
      </c>
      <c r="F23" s="9">
        <v>5.84</v>
      </c>
      <c r="G23" s="9"/>
      <c r="H23" s="7" t="s">
        <v>16</v>
      </c>
      <c r="I23" s="10">
        <v>6.0179999999999998</v>
      </c>
      <c r="J23" s="10">
        <v>7.1740000000000004</v>
      </c>
      <c r="K23" s="10">
        <v>10.157999999999999</v>
      </c>
      <c r="L23" s="10">
        <v>4.5910000000000002</v>
      </c>
      <c r="M23" s="11"/>
      <c r="N23" s="7">
        <v>100</v>
      </c>
      <c r="P23" s="7">
        <v>100</v>
      </c>
      <c r="Q23" s="12">
        <v>522</v>
      </c>
      <c r="R23" s="12">
        <v>620</v>
      </c>
      <c r="S23" s="12">
        <v>718</v>
      </c>
      <c r="T23" s="12">
        <v>816</v>
      </c>
      <c r="U23" s="12"/>
    </row>
    <row r="24" spans="1:21" s="7" customFormat="1" x14ac:dyDescent="0.35">
      <c r="A24" s="7" t="s">
        <v>15</v>
      </c>
      <c r="B24" s="8">
        <v>6.625</v>
      </c>
      <c r="C24" s="7">
        <v>24</v>
      </c>
      <c r="D24" s="7">
        <v>0.35199999999999998</v>
      </c>
      <c r="E24" s="7">
        <v>8.94</v>
      </c>
      <c r="F24" s="9">
        <v>5.7960000000000003</v>
      </c>
      <c r="G24" s="9"/>
      <c r="H24" s="7" t="s">
        <v>16</v>
      </c>
      <c r="I24" s="10">
        <v>5.9960000000000004</v>
      </c>
      <c r="J24" s="10">
        <v>7.2110000000000003</v>
      </c>
      <c r="K24" s="10">
        <v>10.157999999999999</v>
      </c>
      <c r="L24" s="10">
        <v>4.5910000000000002</v>
      </c>
      <c r="M24" s="11"/>
      <c r="N24" s="7">
        <v>100</v>
      </c>
      <c r="P24" s="7">
        <v>100</v>
      </c>
      <c r="Q24" s="12">
        <v>555</v>
      </c>
      <c r="R24" s="12">
        <v>659</v>
      </c>
      <c r="S24" s="12">
        <v>763</v>
      </c>
      <c r="T24" s="12">
        <v>867</v>
      </c>
      <c r="U24" s="12"/>
    </row>
    <row r="25" spans="1:21" s="7" customFormat="1" x14ac:dyDescent="0.35">
      <c r="A25" s="7" t="s">
        <v>15</v>
      </c>
      <c r="B25" s="8">
        <v>6.625</v>
      </c>
      <c r="C25" s="7">
        <v>28</v>
      </c>
      <c r="D25" s="7">
        <v>0.41699999999999998</v>
      </c>
      <c r="E25" s="7">
        <v>10.59</v>
      </c>
      <c r="F25" s="9">
        <v>5.6660000000000004</v>
      </c>
      <c r="G25" s="9"/>
      <c r="H25" s="7" t="s">
        <v>16</v>
      </c>
      <c r="I25" s="10">
        <v>5.8639999999999999</v>
      </c>
      <c r="J25" s="10">
        <v>7.3170000000000002</v>
      </c>
      <c r="K25" s="10">
        <v>10.157999999999999</v>
      </c>
      <c r="L25" s="10">
        <v>4.5910000000000002</v>
      </c>
      <c r="M25" s="11"/>
      <c r="N25" s="7">
        <v>100</v>
      </c>
      <c r="P25" s="7">
        <v>100</v>
      </c>
      <c r="Q25" s="12">
        <v>651</v>
      </c>
      <c r="R25" s="12">
        <v>773</v>
      </c>
      <c r="S25" s="12">
        <v>895</v>
      </c>
      <c r="T25" s="12">
        <v>1017</v>
      </c>
      <c r="U25" s="12"/>
    </row>
    <row r="26" spans="1:21" s="7" customFormat="1" x14ac:dyDescent="0.35">
      <c r="A26" s="7" t="s">
        <v>15</v>
      </c>
      <c r="B26" s="8">
        <v>6.625</v>
      </c>
      <c r="C26" s="7">
        <v>32</v>
      </c>
      <c r="D26" s="7">
        <v>0.47499999999999998</v>
      </c>
      <c r="E26" s="7">
        <v>12.06</v>
      </c>
      <c r="F26" s="9">
        <v>5.55</v>
      </c>
      <c r="G26" s="9"/>
      <c r="H26" s="7" t="s">
        <v>16</v>
      </c>
      <c r="I26" s="10">
        <v>5.7439999999999998</v>
      </c>
      <c r="J26" s="10">
        <v>7.41</v>
      </c>
      <c r="K26" s="10">
        <v>10.157999999999999</v>
      </c>
      <c r="L26" s="10">
        <v>4.5910000000000002</v>
      </c>
      <c r="M26" s="11"/>
      <c r="N26" s="7">
        <v>100</v>
      </c>
      <c r="P26" s="7">
        <v>100</v>
      </c>
      <c r="Q26" s="12">
        <v>734</v>
      </c>
      <c r="R26" s="12">
        <v>872</v>
      </c>
      <c r="S26" s="12">
        <v>1009</v>
      </c>
      <c r="T26" s="12">
        <v>1147</v>
      </c>
      <c r="U26" s="12"/>
    </row>
    <row r="27" spans="1:21" s="7" customFormat="1" x14ac:dyDescent="0.35">
      <c r="A27" s="7" t="s">
        <v>15</v>
      </c>
      <c r="B27" s="8">
        <v>6.625</v>
      </c>
      <c r="C27" s="7">
        <v>34.5</v>
      </c>
      <c r="D27" s="7">
        <v>0.52500000000000002</v>
      </c>
      <c r="E27" s="7">
        <v>13.33</v>
      </c>
      <c r="F27" s="9">
        <v>5.45</v>
      </c>
      <c r="G27" s="9"/>
      <c r="H27" s="7" t="s">
        <v>16</v>
      </c>
      <c r="I27" s="10">
        <v>5.6440000000000001</v>
      </c>
      <c r="J27" s="10">
        <v>7.4669999999999996</v>
      </c>
      <c r="K27" s="10">
        <v>10.867000000000001</v>
      </c>
      <c r="L27" s="10">
        <v>4.9450000000000003</v>
      </c>
      <c r="M27" s="11"/>
      <c r="N27" s="7">
        <v>100</v>
      </c>
      <c r="P27" s="7">
        <v>100</v>
      </c>
      <c r="Q27" s="12">
        <v>805</v>
      </c>
      <c r="R27" s="12">
        <v>956</v>
      </c>
      <c r="S27" s="12">
        <v>1107</v>
      </c>
      <c r="T27" s="12">
        <v>1258</v>
      </c>
      <c r="U27" s="12"/>
    </row>
    <row r="28" spans="1:21" s="7" customFormat="1" x14ac:dyDescent="0.35">
      <c r="A28" s="7" t="s">
        <v>15</v>
      </c>
      <c r="B28" s="8">
        <v>6.625</v>
      </c>
      <c r="C28" s="7">
        <v>36.700000000000003</v>
      </c>
      <c r="D28" s="7">
        <v>0.56200000000000006</v>
      </c>
      <c r="E28" s="7">
        <v>14.27</v>
      </c>
      <c r="F28" s="9">
        <v>5.3760000000000003</v>
      </c>
      <c r="G28" s="9"/>
      <c r="H28" s="7" t="s">
        <v>16</v>
      </c>
      <c r="I28" s="10">
        <v>5.5979999999999999</v>
      </c>
      <c r="J28" s="10">
        <v>7.5220000000000002</v>
      </c>
      <c r="K28" s="10">
        <v>10.867000000000001</v>
      </c>
      <c r="L28" s="10">
        <v>4.9450000000000003</v>
      </c>
      <c r="M28" s="11"/>
      <c r="N28" s="7">
        <v>100</v>
      </c>
      <c r="P28" s="7">
        <v>100</v>
      </c>
      <c r="Q28" s="12">
        <v>856</v>
      </c>
      <c r="R28" s="12">
        <v>1017</v>
      </c>
      <c r="S28" s="12">
        <v>1178</v>
      </c>
      <c r="T28" s="12">
        <v>1338</v>
      </c>
      <c r="U28" s="12"/>
    </row>
    <row r="29" spans="1:21" s="7" customFormat="1" x14ac:dyDescent="0.35">
      <c r="A29" s="7" t="s">
        <v>15</v>
      </c>
      <c r="B29" s="8">
        <v>7</v>
      </c>
      <c r="C29" s="7">
        <v>23</v>
      </c>
      <c r="D29" s="7">
        <v>0.317</v>
      </c>
      <c r="E29" s="7">
        <v>8.0500000000000007</v>
      </c>
      <c r="F29" s="9">
        <v>6.25</v>
      </c>
      <c r="G29" s="9" t="s">
        <v>41</v>
      </c>
      <c r="H29" s="7" t="s">
        <v>16</v>
      </c>
      <c r="I29" s="10">
        <v>6.3730000000000002</v>
      </c>
      <c r="J29" s="10">
        <v>7.516</v>
      </c>
      <c r="K29" s="10">
        <v>11.693</v>
      </c>
      <c r="L29" s="10">
        <v>4.8659999999999997</v>
      </c>
      <c r="M29" s="11"/>
      <c r="N29" s="7">
        <v>100</v>
      </c>
      <c r="P29" s="7">
        <v>100</v>
      </c>
      <c r="Q29" s="12">
        <v>532</v>
      </c>
      <c r="R29" s="12">
        <v>632</v>
      </c>
      <c r="S29" s="12">
        <v>732</v>
      </c>
      <c r="T29" s="12">
        <v>832</v>
      </c>
      <c r="U29" s="12"/>
    </row>
    <row r="30" spans="1:21" s="7" customFormat="1" x14ac:dyDescent="0.35">
      <c r="A30" s="7" t="s">
        <v>15</v>
      </c>
      <c r="B30" s="8">
        <v>7</v>
      </c>
      <c r="C30" s="7">
        <v>26</v>
      </c>
      <c r="D30" s="7">
        <v>0.36199999999999999</v>
      </c>
      <c r="E30" s="7">
        <v>9.19</v>
      </c>
      <c r="F30" s="9">
        <v>6.1509999999999998</v>
      </c>
      <c r="G30" s="9"/>
      <c r="H30" s="7" t="s">
        <v>16</v>
      </c>
      <c r="I30" s="10">
        <v>6.3689999999999998</v>
      </c>
      <c r="J30" s="10">
        <v>7.593</v>
      </c>
      <c r="K30" s="10">
        <v>11.693</v>
      </c>
      <c r="L30" s="10">
        <v>4.8659999999999997</v>
      </c>
      <c r="M30" s="11"/>
      <c r="N30" s="7">
        <v>100</v>
      </c>
      <c r="P30" s="7">
        <v>100</v>
      </c>
      <c r="Q30" s="12">
        <v>604</v>
      </c>
      <c r="R30" s="12">
        <v>717</v>
      </c>
      <c r="S30" s="12">
        <v>830</v>
      </c>
      <c r="T30" s="12">
        <v>944</v>
      </c>
      <c r="U30" s="12"/>
    </row>
    <row r="31" spans="1:21" s="7" customFormat="1" x14ac:dyDescent="0.35">
      <c r="A31" s="7" t="s">
        <v>15</v>
      </c>
      <c r="B31" s="8">
        <v>7</v>
      </c>
      <c r="C31" s="7">
        <v>29</v>
      </c>
      <c r="D31" s="7">
        <v>0.40799999999999997</v>
      </c>
      <c r="E31" s="7">
        <v>10.36</v>
      </c>
      <c r="F31" s="9">
        <v>6.0590000000000002</v>
      </c>
      <c r="G31" s="9"/>
      <c r="H31" s="7" t="s">
        <v>16</v>
      </c>
      <c r="I31" s="10">
        <v>6.3239999999999998</v>
      </c>
      <c r="J31" s="10">
        <v>7.67</v>
      </c>
      <c r="K31" s="10">
        <v>11.693</v>
      </c>
      <c r="L31" s="10">
        <v>4.8659999999999997</v>
      </c>
      <c r="M31" s="11"/>
      <c r="N31" s="7">
        <v>100</v>
      </c>
      <c r="P31" s="7">
        <v>100</v>
      </c>
      <c r="Q31" s="12">
        <v>676</v>
      </c>
      <c r="R31" s="12">
        <v>803</v>
      </c>
      <c r="S31" s="12">
        <v>929</v>
      </c>
      <c r="T31" s="12">
        <v>1056</v>
      </c>
      <c r="U31" s="12"/>
    </row>
    <row r="32" spans="1:21" s="7" customFormat="1" x14ac:dyDescent="0.35">
      <c r="A32" s="7" t="s">
        <v>15</v>
      </c>
      <c r="B32" s="8">
        <v>7</v>
      </c>
      <c r="C32" s="7">
        <v>32</v>
      </c>
      <c r="D32" s="7">
        <v>0.45300000000000001</v>
      </c>
      <c r="E32" s="7">
        <v>11.51</v>
      </c>
      <c r="F32" s="9">
        <v>6</v>
      </c>
      <c r="G32" s="9" t="s">
        <v>41</v>
      </c>
      <c r="H32" s="7" t="s">
        <v>16</v>
      </c>
      <c r="I32" s="10">
        <v>6.2149999999999999</v>
      </c>
      <c r="J32" s="10">
        <v>7.7430000000000003</v>
      </c>
      <c r="K32" s="10">
        <v>11.693</v>
      </c>
      <c r="L32" s="10">
        <v>4.8659999999999997</v>
      </c>
      <c r="M32" s="11"/>
      <c r="N32" s="7">
        <v>100</v>
      </c>
      <c r="P32" s="7">
        <v>100</v>
      </c>
      <c r="Q32" s="12">
        <v>745</v>
      </c>
      <c r="R32" s="12">
        <v>885</v>
      </c>
      <c r="S32" s="12">
        <v>1025</v>
      </c>
      <c r="T32" s="12">
        <v>1165</v>
      </c>
      <c r="U32" s="12"/>
    </row>
    <row r="33" spans="1:21" s="7" customFormat="1" x14ac:dyDescent="0.35">
      <c r="A33" s="7" t="s">
        <v>15</v>
      </c>
      <c r="B33" s="8">
        <v>7</v>
      </c>
      <c r="C33" s="7">
        <v>35</v>
      </c>
      <c r="D33" s="7">
        <v>0.498</v>
      </c>
      <c r="E33" s="7">
        <v>12.65</v>
      </c>
      <c r="F33" s="9">
        <v>5.8789999999999996</v>
      </c>
      <c r="G33" s="9"/>
      <c r="H33" s="7" t="s">
        <v>16</v>
      </c>
      <c r="I33" s="10">
        <v>6.101</v>
      </c>
      <c r="J33" s="10">
        <v>7.8129999999999997</v>
      </c>
      <c r="K33" s="10">
        <v>11.693</v>
      </c>
      <c r="L33" s="10">
        <v>4.8659999999999997</v>
      </c>
      <c r="M33" s="11"/>
      <c r="N33" s="7">
        <v>100</v>
      </c>
      <c r="P33" s="7">
        <v>100</v>
      </c>
      <c r="Q33" s="12">
        <v>814</v>
      </c>
      <c r="R33" s="12">
        <v>966</v>
      </c>
      <c r="S33" s="12">
        <v>1119</v>
      </c>
      <c r="T33" s="12">
        <v>1272</v>
      </c>
      <c r="U33" s="12"/>
    </row>
    <row r="34" spans="1:21" s="7" customFormat="1" x14ac:dyDescent="0.35">
      <c r="A34" s="7" t="s">
        <v>15</v>
      </c>
      <c r="B34" s="8">
        <v>7</v>
      </c>
      <c r="C34" s="7">
        <v>38</v>
      </c>
      <c r="D34" s="7">
        <v>0.54</v>
      </c>
      <c r="E34" s="7">
        <v>13.72</v>
      </c>
      <c r="F34" s="9">
        <v>5.7949999999999999</v>
      </c>
      <c r="G34" s="9"/>
      <c r="H34" s="7" t="s">
        <v>16</v>
      </c>
      <c r="I34" s="10">
        <v>5.9749999999999996</v>
      </c>
      <c r="J34" s="10">
        <v>7.8550000000000004</v>
      </c>
      <c r="K34" s="10">
        <v>12.481</v>
      </c>
      <c r="L34" s="10">
        <v>5.26</v>
      </c>
      <c r="M34" s="11"/>
      <c r="N34" s="7">
        <v>100</v>
      </c>
      <c r="P34" s="7">
        <v>100</v>
      </c>
      <c r="Q34" s="12">
        <v>877</v>
      </c>
      <c r="R34" s="12">
        <v>1041</v>
      </c>
      <c r="S34" s="12">
        <v>1205</v>
      </c>
      <c r="T34" s="12">
        <v>1370</v>
      </c>
      <c r="U34" s="12"/>
    </row>
    <row r="35" spans="1:21" s="7" customFormat="1" x14ac:dyDescent="0.35">
      <c r="A35" s="7" t="s">
        <v>15</v>
      </c>
      <c r="B35" s="8">
        <v>7</v>
      </c>
      <c r="C35" s="7">
        <v>41</v>
      </c>
      <c r="D35" s="7">
        <v>0.59</v>
      </c>
      <c r="E35" s="7">
        <v>14.99</v>
      </c>
      <c r="F35" s="9">
        <v>5.6950000000000003</v>
      </c>
      <c r="G35" s="9"/>
      <c r="H35" s="7" t="s">
        <v>16</v>
      </c>
      <c r="I35" s="10">
        <v>5.93</v>
      </c>
      <c r="J35" s="10">
        <v>7.9320000000000004</v>
      </c>
      <c r="K35" s="10">
        <v>12.481</v>
      </c>
      <c r="L35" s="10">
        <v>5.26</v>
      </c>
      <c r="M35" s="11"/>
      <c r="N35" s="7">
        <v>100</v>
      </c>
      <c r="P35" s="7">
        <v>100</v>
      </c>
      <c r="Q35" s="12">
        <v>950</v>
      </c>
      <c r="R35" s="12">
        <v>1129</v>
      </c>
      <c r="S35" s="12">
        <v>1307</v>
      </c>
      <c r="T35" s="12">
        <v>1485</v>
      </c>
      <c r="U35" s="12"/>
    </row>
    <row r="36" spans="1:21" s="7" customFormat="1" x14ac:dyDescent="0.35">
      <c r="A36" s="7" t="s">
        <v>15</v>
      </c>
      <c r="B36" s="8">
        <v>7</v>
      </c>
      <c r="C36" s="7">
        <v>42.7</v>
      </c>
      <c r="D36" s="7">
        <v>0.625</v>
      </c>
      <c r="E36" s="7">
        <v>15.88</v>
      </c>
      <c r="F36" s="9">
        <v>5.625</v>
      </c>
      <c r="G36" s="9"/>
      <c r="H36" s="7" t="s">
        <v>16</v>
      </c>
      <c r="I36" s="10">
        <v>5.8959999999999999</v>
      </c>
      <c r="J36" s="10">
        <v>7.9829999999999997</v>
      </c>
      <c r="K36" s="10">
        <v>12.481</v>
      </c>
      <c r="L36" s="10">
        <v>5.26</v>
      </c>
      <c r="M36" s="11"/>
      <c r="N36" s="7">
        <v>100</v>
      </c>
      <c r="P36" s="7">
        <v>100</v>
      </c>
      <c r="Q36" s="12">
        <v>1001</v>
      </c>
      <c r="R36" s="12">
        <v>1189</v>
      </c>
      <c r="S36" s="12">
        <v>1377</v>
      </c>
      <c r="T36" s="12">
        <v>1565</v>
      </c>
      <c r="U36" s="12"/>
    </row>
    <row r="37" spans="1:21" s="7" customFormat="1" x14ac:dyDescent="0.35">
      <c r="A37" s="7" t="s">
        <v>15</v>
      </c>
      <c r="B37" s="8">
        <v>7.625</v>
      </c>
      <c r="C37" s="7">
        <v>29.7</v>
      </c>
      <c r="D37" s="7">
        <v>0.375</v>
      </c>
      <c r="E37" s="7">
        <v>9.52</v>
      </c>
      <c r="F37" s="9">
        <v>6.75</v>
      </c>
      <c r="G37" s="9"/>
      <c r="H37" s="7" t="s">
        <v>16</v>
      </c>
      <c r="I37" s="10">
        <v>6.97</v>
      </c>
      <c r="J37" s="10">
        <v>8.2780000000000005</v>
      </c>
      <c r="K37" s="10">
        <v>11.023999999999999</v>
      </c>
      <c r="L37" s="10">
        <v>4.5350000000000001</v>
      </c>
      <c r="M37" s="11"/>
      <c r="N37" s="7">
        <v>100</v>
      </c>
      <c r="P37" s="7">
        <v>100</v>
      </c>
      <c r="Q37" s="12">
        <v>683</v>
      </c>
      <c r="R37" s="12">
        <v>811</v>
      </c>
      <c r="S37" s="12">
        <v>940</v>
      </c>
      <c r="T37" s="12">
        <v>1068</v>
      </c>
      <c r="U37" s="12"/>
    </row>
    <row r="38" spans="1:21" s="7" customFormat="1" x14ac:dyDescent="0.35">
      <c r="A38" s="7" t="s">
        <v>15</v>
      </c>
      <c r="B38" s="8">
        <v>7.625</v>
      </c>
      <c r="C38" s="7">
        <v>33.700000000000003</v>
      </c>
      <c r="D38" s="7">
        <v>0.43</v>
      </c>
      <c r="E38" s="7">
        <v>10.92</v>
      </c>
      <c r="F38" s="9">
        <v>6.64</v>
      </c>
      <c r="G38" s="9"/>
      <c r="H38" s="7" t="s">
        <v>16</v>
      </c>
      <c r="I38" s="10">
        <v>6.883</v>
      </c>
      <c r="J38" s="10">
        <v>8.3710000000000004</v>
      </c>
      <c r="K38" s="10">
        <v>11.023999999999999</v>
      </c>
      <c r="L38" s="10">
        <v>4.5350000000000001</v>
      </c>
      <c r="M38" s="11"/>
      <c r="N38" s="7">
        <v>100</v>
      </c>
      <c r="P38" s="7">
        <v>100</v>
      </c>
      <c r="Q38" s="12">
        <v>778</v>
      </c>
      <c r="R38" s="12">
        <v>923</v>
      </c>
      <c r="S38" s="12">
        <v>1069</v>
      </c>
      <c r="T38" s="12">
        <v>1215</v>
      </c>
      <c r="U38" s="12"/>
    </row>
    <row r="39" spans="1:21" s="7" customFormat="1" x14ac:dyDescent="0.35">
      <c r="A39" s="7" t="s">
        <v>15</v>
      </c>
      <c r="B39" s="8">
        <v>7.625</v>
      </c>
      <c r="C39" s="7">
        <v>35.799999999999997</v>
      </c>
      <c r="D39" s="7">
        <v>0.46500000000000002</v>
      </c>
      <c r="E39" s="7">
        <v>11.81</v>
      </c>
      <c r="F39" s="9">
        <v>6.57</v>
      </c>
      <c r="G39" s="9"/>
      <c r="H39" s="7" t="s">
        <v>16</v>
      </c>
      <c r="I39" s="10">
        <v>6.83</v>
      </c>
      <c r="J39" s="10">
        <v>8.4280000000000008</v>
      </c>
      <c r="K39" s="10">
        <v>11.023999999999999</v>
      </c>
      <c r="L39" s="10">
        <v>4.5350000000000001</v>
      </c>
      <c r="M39" s="11"/>
      <c r="N39" s="7">
        <v>100</v>
      </c>
      <c r="P39" s="7">
        <v>100</v>
      </c>
      <c r="Q39" s="12">
        <v>837</v>
      </c>
      <c r="R39" s="12">
        <v>994</v>
      </c>
      <c r="S39" s="12">
        <v>1151</v>
      </c>
      <c r="T39" s="12">
        <v>1308</v>
      </c>
      <c r="U39" s="12"/>
    </row>
    <row r="40" spans="1:21" s="7" customFormat="1" x14ac:dyDescent="0.35">
      <c r="A40" s="7" t="s">
        <v>15</v>
      </c>
      <c r="B40" s="8">
        <v>7.625</v>
      </c>
      <c r="C40" s="7">
        <v>39</v>
      </c>
      <c r="D40" s="7">
        <v>0.5</v>
      </c>
      <c r="E40" s="7">
        <v>12.7</v>
      </c>
      <c r="F40" s="9">
        <v>6.5</v>
      </c>
      <c r="G40" s="9"/>
      <c r="H40" s="7" t="s">
        <v>16</v>
      </c>
      <c r="I40" s="10">
        <v>6.7519999999999998</v>
      </c>
      <c r="J40" s="10">
        <v>8.4830000000000005</v>
      </c>
      <c r="K40" s="10">
        <v>11.023999999999999</v>
      </c>
      <c r="L40" s="10">
        <v>4.5350000000000001</v>
      </c>
      <c r="M40" s="11"/>
      <c r="N40" s="7">
        <v>100</v>
      </c>
      <c r="P40" s="7">
        <v>100</v>
      </c>
      <c r="Q40" s="12">
        <v>895</v>
      </c>
      <c r="R40" s="12">
        <v>1063</v>
      </c>
      <c r="S40" s="12">
        <v>1231</v>
      </c>
      <c r="T40" s="12">
        <v>1399</v>
      </c>
      <c r="U40" s="12"/>
    </row>
    <row r="41" spans="1:21" s="7" customFormat="1" x14ac:dyDescent="0.35">
      <c r="A41" s="7" t="s">
        <v>15</v>
      </c>
      <c r="B41" s="8">
        <v>7.625</v>
      </c>
      <c r="C41" s="7">
        <v>47.1</v>
      </c>
      <c r="D41" s="7">
        <v>0.625</v>
      </c>
      <c r="E41" s="7">
        <v>15.88</v>
      </c>
      <c r="F41" s="9">
        <v>6.25</v>
      </c>
      <c r="G41" s="9"/>
      <c r="H41" s="7" t="s">
        <v>16</v>
      </c>
      <c r="I41" s="10">
        <v>6.4740000000000002</v>
      </c>
      <c r="J41" s="10">
        <v>8.6519999999999992</v>
      </c>
      <c r="K41" s="10">
        <v>11.89</v>
      </c>
      <c r="L41" s="10">
        <v>4.968</v>
      </c>
      <c r="M41" s="11"/>
      <c r="N41" s="7">
        <v>100</v>
      </c>
      <c r="P41" s="7">
        <v>100</v>
      </c>
      <c r="Q41" s="12">
        <v>1100</v>
      </c>
      <c r="R41" s="12">
        <v>1306</v>
      </c>
      <c r="S41" s="12">
        <v>1512</v>
      </c>
      <c r="T41" s="12">
        <v>1718</v>
      </c>
      <c r="U41" s="12"/>
    </row>
    <row r="42" spans="1:21" s="7" customFormat="1" x14ac:dyDescent="0.35">
      <c r="A42" s="7" t="s">
        <v>15</v>
      </c>
      <c r="B42" s="8">
        <v>7.75</v>
      </c>
      <c r="C42" s="7">
        <v>46.1</v>
      </c>
      <c r="D42" s="7">
        <v>0.59499999999999997</v>
      </c>
      <c r="E42" s="7">
        <v>15.11</v>
      </c>
      <c r="F42" s="9">
        <v>6.5</v>
      </c>
      <c r="G42" s="9" t="s">
        <v>41</v>
      </c>
      <c r="H42" s="7" t="s">
        <v>16</v>
      </c>
      <c r="I42" s="10">
        <v>6.6349999999999998</v>
      </c>
      <c r="J42" s="10">
        <v>8.7270000000000003</v>
      </c>
      <c r="K42" s="10">
        <v>12.087</v>
      </c>
      <c r="L42" s="10">
        <v>5.0629999999999997</v>
      </c>
      <c r="M42" s="11"/>
      <c r="N42" s="7">
        <v>100</v>
      </c>
      <c r="P42" s="7">
        <v>100</v>
      </c>
      <c r="Q42" s="12">
        <v>1070</v>
      </c>
      <c r="R42" s="12">
        <v>1271</v>
      </c>
      <c r="S42" s="12">
        <v>1471</v>
      </c>
      <c r="T42" s="12">
        <v>1672</v>
      </c>
      <c r="U42" s="12"/>
    </row>
    <row r="43" spans="1:21" s="7" customFormat="1" x14ac:dyDescent="0.35">
      <c r="A43" s="7" t="s">
        <v>15</v>
      </c>
      <c r="B43" s="8">
        <v>8.625</v>
      </c>
      <c r="C43" s="7">
        <v>40</v>
      </c>
      <c r="D43" s="7">
        <v>0.45</v>
      </c>
      <c r="E43" s="7">
        <v>11.43</v>
      </c>
      <c r="F43" s="9">
        <v>7.625</v>
      </c>
      <c r="G43" s="9" t="s">
        <v>41</v>
      </c>
      <c r="H43" s="7" t="s">
        <v>16</v>
      </c>
      <c r="I43" s="10">
        <v>7.8769999999999998</v>
      </c>
      <c r="J43" s="10">
        <v>9.3979999999999997</v>
      </c>
      <c r="K43" s="10">
        <v>11.733000000000001</v>
      </c>
      <c r="L43" s="10">
        <v>4.8899999999999997</v>
      </c>
      <c r="M43" s="11"/>
      <c r="N43" s="7">
        <v>100</v>
      </c>
      <c r="P43" s="7">
        <v>100</v>
      </c>
      <c r="Q43" s="12">
        <v>925</v>
      </c>
      <c r="R43" s="12">
        <v>1098</v>
      </c>
      <c r="S43" s="12">
        <v>1271</v>
      </c>
      <c r="T43" s="12">
        <v>1445</v>
      </c>
      <c r="U43" s="12"/>
    </row>
    <row r="44" spans="1:21" s="7" customFormat="1" x14ac:dyDescent="0.35">
      <c r="A44" s="7" t="s">
        <v>15</v>
      </c>
      <c r="B44" s="8">
        <v>8.625</v>
      </c>
      <c r="C44" s="7">
        <v>44</v>
      </c>
      <c r="D44" s="7">
        <v>0.5</v>
      </c>
      <c r="E44" s="7">
        <v>12.7</v>
      </c>
      <c r="F44" s="9">
        <v>7.5</v>
      </c>
      <c r="G44" s="9"/>
      <c r="H44" s="7" t="s">
        <v>16</v>
      </c>
      <c r="I44" s="10">
        <v>7.7960000000000003</v>
      </c>
      <c r="J44" s="10">
        <v>9.4830000000000005</v>
      </c>
      <c r="K44" s="10">
        <v>11.733000000000001</v>
      </c>
      <c r="L44" s="10">
        <v>4.8899999999999997</v>
      </c>
      <c r="M44" s="11"/>
      <c r="N44" s="7">
        <v>100</v>
      </c>
      <c r="P44" s="7">
        <v>100</v>
      </c>
      <c r="Q44" s="12">
        <v>1021</v>
      </c>
      <c r="R44" s="12">
        <v>1212</v>
      </c>
      <c r="S44" s="12">
        <v>1404</v>
      </c>
      <c r="T44" s="12">
        <v>1595</v>
      </c>
      <c r="U44" s="12"/>
    </row>
    <row r="45" spans="1:21" s="7" customFormat="1" x14ac:dyDescent="0.35">
      <c r="A45" s="7" t="s">
        <v>15</v>
      </c>
      <c r="B45" s="8">
        <v>8.625</v>
      </c>
      <c r="C45" s="7">
        <v>49</v>
      </c>
      <c r="D45" s="7">
        <v>0.55700000000000005</v>
      </c>
      <c r="E45" s="7">
        <v>14.15</v>
      </c>
      <c r="F45" s="9">
        <v>7.3860000000000001</v>
      </c>
      <c r="G45" s="9"/>
      <c r="H45" s="7" t="s">
        <v>16</v>
      </c>
      <c r="I45" s="10">
        <v>7.6959999999999997</v>
      </c>
      <c r="J45" s="10">
        <v>9.5399999999999991</v>
      </c>
      <c r="K45" s="10">
        <v>12.717000000000001</v>
      </c>
      <c r="L45" s="10">
        <v>5.3780000000000001</v>
      </c>
      <c r="M45" s="11"/>
      <c r="N45" s="7">
        <v>100</v>
      </c>
      <c r="P45" s="7">
        <v>100</v>
      </c>
      <c r="Q45" s="12">
        <v>1129</v>
      </c>
      <c r="R45" s="12">
        <v>1341</v>
      </c>
      <c r="S45" s="12">
        <v>1553</v>
      </c>
      <c r="T45" s="12">
        <v>1765</v>
      </c>
      <c r="U45" s="12"/>
    </row>
    <row r="46" spans="1:21" s="7" customFormat="1" x14ac:dyDescent="0.35">
      <c r="A46" s="7" t="s">
        <v>15</v>
      </c>
      <c r="B46" s="8">
        <v>8.625</v>
      </c>
      <c r="C46" s="7">
        <v>52</v>
      </c>
      <c r="D46" s="7">
        <v>0.59499999999999997</v>
      </c>
      <c r="E46" s="7">
        <v>15.11</v>
      </c>
      <c r="F46" s="9">
        <v>7.31</v>
      </c>
      <c r="G46" s="9"/>
      <c r="H46" s="7" t="s">
        <v>16</v>
      </c>
      <c r="I46" s="10">
        <v>7.6280000000000001</v>
      </c>
      <c r="J46" s="10">
        <v>9.5990000000000002</v>
      </c>
      <c r="K46" s="10">
        <v>12.717000000000001</v>
      </c>
      <c r="L46" s="10">
        <v>5.3780000000000001</v>
      </c>
      <c r="M46" s="11"/>
      <c r="N46" s="7">
        <v>100</v>
      </c>
      <c r="P46" s="7">
        <v>100</v>
      </c>
      <c r="Q46" s="12">
        <v>1201</v>
      </c>
      <c r="R46" s="12">
        <v>1426</v>
      </c>
      <c r="S46" s="12">
        <v>1651</v>
      </c>
      <c r="T46" s="12">
        <v>1876</v>
      </c>
      <c r="U46" s="12"/>
    </row>
    <row r="47" spans="1:21" s="7" customFormat="1" x14ac:dyDescent="0.35">
      <c r="A47" s="7" t="s">
        <v>15</v>
      </c>
      <c r="B47" s="8">
        <v>9.625</v>
      </c>
      <c r="C47" s="7">
        <v>40</v>
      </c>
      <c r="D47" s="7">
        <v>0.39500000000000002</v>
      </c>
      <c r="E47" s="7">
        <v>10.029999999999999</v>
      </c>
      <c r="F47" s="9">
        <v>8.75</v>
      </c>
      <c r="G47" s="9" t="s">
        <v>41</v>
      </c>
      <c r="H47" s="7" t="s">
        <v>16</v>
      </c>
      <c r="I47" s="10">
        <v>8.8450000000000006</v>
      </c>
      <c r="J47" s="10">
        <v>10.319000000000001</v>
      </c>
      <c r="K47" s="10">
        <v>11.497</v>
      </c>
      <c r="L47" s="10">
        <v>4.7480000000000002</v>
      </c>
      <c r="M47" s="11"/>
      <c r="N47" s="7">
        <v>100</v>
      </c>
      <c r="P47" s="7">
        <v>100</v>
      </c>
      <c r="Q47" s="12">
        <v>916</v>
      </c>
      <c r="R47" s="12">
        <v>1088</v>
      </c>
      <c r="S47" s="12">
        <v>1260</v>
      </c>
      <c r="T47" s="12">
        <v>1432</v>
      </c>
      <c r="U47" s="12"/>
    </row>
    <row r="48" spans="1:21" s="7" customFormat="1" x14ac:dyDescent="0.35">
      <c r="A48" s="7" t="s">
        <v>15</v>
      </c>
      <c r="B48" s="8">
        <v>9.625</v>
      </c>
      <c r="C48" s="7">
        <v>43.5</v>
      </c>
      <c r="D48" s="7">
        <v>0.435</v>
      </c>
      <c r="E48" s="7">
        <v>11.05</v>
      </c>
      <c r="F48" s="9">
        <v>8.625</v>
      </c>
      <c r="G48" s="9" t="s">
        <v>42</v>
      </c>
      <c r="H48" s="7" t="s">
        <v>16</v>
      </c>
      <c r="I48" s="10">
        <v>8.7669999999999995</v>
      </c>
      <c r="J48" s="10">
        <v>10.356999999999999</v>
      </c>
      <c r="K48" s="10">
        <v>12.756</v>
      </c>
      <c r="L48" s="10">
        <v>5.3780000000000001</v>
      </c>
      <c r="M48" s="11"/>
      <c r="N48" s="7">
        <v>100</v>
      </c>
      <c r="P48" s="7">
        <v>100</v>
      </c>
      <c r="Q48" s="12">
        <v>1005</v>
      </c>
      <c r="R48" s="12">
        <v>1193</v>
      </c>
      <c r="S48" s="12">
        <v>1381</v>
      </c>
      <c r="T48" s="12">
        <v>1570</v>
      </c>
      <c r="U48" s="12"/>
    </row>
    <row r="49" spans="1:21" s="7" customFormat="1" x14ac:dyDescent="0.35">
      <c r="A49" s="7" t="s">
        <v>15</v>
      </c>
      <c r="B49" s="8">
        <v>9.625</v>
      </c>
      <c r="C49" s="7">
        <v>47</v>
      </c>
      <c r="D49" s="7">
        <v>0.47199999999999998</v>
      </c>
      <c r="E49" s="7">
        <v>11.99</v>
      </c>
      <c r="F49" s="9">
        <v>8.5250000000000004</v>
      </c>
      <c r="G49" s="9"/>
      <c r="H49" s="7" t="s">
        <v>16</v>
      </c>
      <c r="I49" s="10">
        <v>8.8520000000000003</v>
      </c>
      <c r="J49" s="10">
        <v>10.42</v>
      </c>
      <c r="K49" s="10">
        <v>12.756</v>
      </c>
      <c r="L49" s="10">
        <v>5.3780000000000001</v>
      </c>
      <c r="M49" s="11"/>
      <c r="N49" s="7">
        <v>100</v>
      </c>
      <c r="P49" s="7">
        <v>100</v>
      </c>
      <c r="Q49" s="12">
        <v>1086</v>
      </c>
      <c r="R49" s="12">
        <v>1289</v>
      </c>
      <c r="S49" s="12">
        <v>1493</v>
      </c>
      <c r="T49" s="12">
        <v>1697</v>
      </c>
      <c r="U49" s="12"/>
    </row>
    <row r="50" spans="1:21" s="7" customFormat="1" x14ac:dyDescent="0.35">
      <c r="A50" s="7" t="s">
        <v>15</v>
      </c>
      <c r="B50" s="8">
        <v>9.625</v>
      </c>
      <c r="C50" s="7">
        <v>53.5</v>
      </c>
      <c r="D50" s="7">
        <v>0.54500000000000004</v>
      </c>
      <c r="E50" s="7">
        <v>13.84</v>
      </c>
      <c r="F50" s="9">
        <v>8.5</v>
      </c>
      <c r="G50" s="9" t="s">
        <v>41</v>
      </c>
      <c r="H50" s="7" t="s">
        <v>16</v>
      </c>
      <c r="I50" s="10">
        <v>8.7219999999999995</v>
      </c>
      <c r="J50" s="10">
        <v>10.542</v>
      </c>
      <c r="K50" s="10">
        <v>12.756</v>
      </c>
      <c r="L50" s="10">
        <v>5.3780000000000001</v>
      </c>
      <c r="M50" s="11"/>
      <c r="N50" s="7">
        <v>100</v>
      </c>
      <c r="P50" s="7">
        <v>100</v>
      </c>
      <c r="Q50" s="12">
        <v>1244</v>
      </c>
      <c r="R50" s="12">
        <v>1477</v>
      </c>
      <c r="S50" s="12">
        <v>1710</v>
      </c>
      <c r="T50" s="12">
        <v>1943</v>
      </c>
      <c r="U50" s="12"/>
    </row>
    <row r="51" spans="1:21" s="7" customFormat="1" x14ac:dyDescent="0.35">
      <c r="A51" s="7" t="s">
        <v>15</v>
      </c>
      <c r="B51" s="8">
        <v>9.625</v>
      </c>
      <c r="C51" s="7">
        <v>58.4</v>
      </c>
      <c r="D51" s="7">
        <v>0.59499999999999997</v>
      </c>
      <c r="E51" s="7">
        <v>15.11</v>
      </c>
      <c r="F51" s="9">
        <v>8.375</v>
      </c>
      <c r="G51" s="9" t="s">
        <v>41</v>
      </c>
      <c r="H51" s="7" t="s">
        <v>16</v>
      </c>
      <c r="I51" s="10">
        <v>8.609</v>
      </c>
      <c r="J51" s="10">
        <v>10.611000000000001</v>
      </c>
      <c r="K51" s="10">
        <v>12.993</v>
      </c>
      <c r="L51" s="10">
        <v>5.4960000000000004</v>
      </c>
      <c r="M51" s="11"/>
      <c r="N51" s="7">
        <v>100</v>
      </c>
      <c r="P51" s="7">
        <v>100</v>
      </c>
      <c r="Q51" s="12">
        <v>1350</v>
      </c>
      <c r="R51" s="12">
        <v>1604</v>
      </c>
      <c r="S51" s="12">
        <v>1857</v>
      </c>
      <c r="T51" s="12">
        <v>2110</v>
      </c>
      <c r="U51" s="12"/>
    </row>
    <row r="52" spans="1:21" s="7" customFormat="1" x14ac:dyDescent="0.35">
      <c r="A52" s="7" t="s">
        <v>15</v>
      </c>
      <c r="B52" s="8">
        <v>9.875</v>
      </c>
      <c r="C52" s="7">
        <v>62.8</v>
      </c>
      <c r="D52" s="7">
        <v>0.625</v>
      </c>
      <c r="E52" s="7">
        <v>15.88</v>
      </c>
      <c r="F52" s="9">
        <v>8.5</v>
      </c>
      <c r="G52" s="9" t="s">
        <v>42</v>
      </c>
      <c r="H52" s="7" t="s">
        <v>16</v>
      </c>
      <c r="I52" s="10">
        <v>8.7899999999999991</v>
      </c>
      <c r="J52" s="10">
        <v>10.941000000000001</v>
      </c>
      <c r="K52" s="10">
        <v>12.795999999999999</v>
      </c>
      <c r="L52" s="10">
        <v>5.3979999999999997</v>
      </c>
      <c r="M52" s="11"/>
      <c r="N52" s="7">
        <v>100</v>
      </c>
      <c r="P52" s="7">
        <v>100</v>
      </c>
      <c r="Q52" s="12">
        <v>1453</v>
      </c>
      <c r="R52" s="12">
        <v>1725</v>
      </c>
      <c r="S52" s="12">
        <v>1998</v>
      </c>
      <c r="T52" s="12">
        <v>2270</v>
      </c>
      <c r="U52" s="12"/>
    </row>
    <row r="53" spans="1:21" s="7" customFormat="1" x14ac:dyDescent="0.35">
      <c r="A53" s="7" t="s">
        <v>15</v>
      </c>
      <c r="B53" s="8">
        <v>9.875</v>
      </c>
      <c r="C53" s="7">
        <v>65.3</v>
      </c>
      <c r="D53" s="7">
        <v>0.65</v>
      </c>
      <c r="E53" s="7">
        <v>16.510000000000002</v>
      </c>
      <c r="F53" s="9">
        <v>8.5</v>
      </c>
      <c r="G53" s="9" t="s">
        <v>42</v>
      </c>
      <c r="H53" s="7" t="s">
        <v>16</v>
      </c>
      <c r="I53" s="10">
        <v>8.7349999999999994</v>
      </c>
      <c r="J53" s="10">
        <v>10.981</v>
      </c>
      <c r="K53" s="10">
        <v>12.795999999999999</v>
      </c>
      <c r="L53" s="10">
        <v>5.3979999999999997</v>
      </c>
      <c r="M53" s="11"/>
      <c r="N53" s="7">
        <v>100</v>
      </c>
      <c r="P53" s="7">
        <v>100</v>
      </c>
      <c r="Q53" s="12">
        <v>1507</v>
      </c>
      <c r="R53" s="12">
        <v>1790</v>
      </c>
      <c r="S53" s="12">
        <v>2072</v>
      </c>
      <c r="T53" s="12">
        <v>2355</v>
      </c>
      <c r="U53" s="12"/>
    </row>
    <row r="54" spans="1:21" s="7" customFormat="1" x14ac:dyDescent="0.35">
      <c r="A54" s="7" t="s">
        <v>15</v>
      </c>
      <c r="B54" s="8">
        <v>9.875</v>
      </c>
      <c r="C54" s="7">
        <v>66.900000000000006</v>
      </c>
      <c r="D54" s="7">
        <v>0.66800000000000004</v>
      </c>
      <c r="E54" s="7">
        <v>16.97</v>
      </c>
      <c r="F54" s="9">
        <v>8.5</v>
      </c>
      <c r="G54" s="9" t="s">
        <v>42</v>
      </c>
      <c r="H54" s="7" t="s">
        <v>16</v>
      </c>
      <c r="I54" s="10">
        <v>8.6959999999999997</v>
      </c>
      <c r="J54" s="10">
        <v>11.01</v>
      </c>
      <c r="K54" s="10">
        <v>12.795999999999999</v>
      </c>
      <c r="L54" s="10">
        <v>5.3979999999999997</v>
      </c>
      <c r="M54" s="11"/>
      <c r="N54" s="7">
        <v>100</v>
      </c>
      <c r="P54" s="7">
        <v>100</v>
      </c>
      <c r="Q54" s="12">
        <v>1554</v>
      </c>
      <c r="R54" s="12">
        <v>1845</v>
      </c>
      <c r="S54" s="12">
        <v>2137</v>
      </c>
      <c r="T54" s="12">
        <v>2428</v>
      </c>
      <c r="U54" s="12"/>
    </row>
    <row r="55" spans="1:21" s="7" customFormat="1" x14ac:dyDescent="0.35">
      <c r="A55" s="7" t="s">
        <v>15</v>
      </c>
      <c r="B55" s="8">
        <v>10.75</v>
      </c>
      <c r="C55" s="7">
        <v>45.5</v>
      </c>
      <c r="D55" s="7">
        <v>0.4</v>
      </c>
      <c r="E55" s="7">
        <v>10.16</v>
      </c>
      <c r="F55" s="9">
        <v>9.875</v>
      </c>
      <c r="G55" s="9" t="s">
        <v>41</v>
      </c>
      <c r="H55" s="7" t="s">
        <v>16</v>
      </c>
      <c r="I55" s="10">
        <v>10.118</v>
      </c>
      <c r="J55" s="10">
        <v>11.483000000000001</v>
      </c>
      <c r="K55" s="10">
        <v>11.693</v>
      </c>
      <c r="L55" s="10">
        <v>4.8460000000000001</v>
      </c>
      <c r="M55" s="11"/>
      <c r="N55" s="7">
        <v>100</v>
      </c>
      <c r="P55" s="7">
        <v>100</v>
      </c>
      <c r="Q55" s="12">
        <v>1040</v>
      </c>
      <c r="R55" s="12">
        <v>1236</v>
      </c>
      <c r="S55" s="12">
        <v>1431</v>
      </c>
      <c r="T55" s="12">
        <v>1626</v>
      </c>
      <c r="U55" s="12"/>
    </row>
    <row r="56" spans="1:21" s="7" customFormat="1" x14ac:dyDescent="0.35">
      <c r="A56" s="7" t="s">
        <v>15</v>
      </c>
      <c r="B56" s="8">
        <v>10.75</v>
      </c>
      <c r="C56" s="7">
        <v>51</v>
      </c>
      <c r="D56" s="7">
        <v>0.45</v>
      </c>
      <c r="E56" s="7">
        <v>11.43</v>
      </c>
      <c r="F56" s="9">
        <v>9.6940000000000008</v>
      </c>
      <c r="G56" s="9"/>
      <c r="H56" s="7" t="s">
        <v>16</v>
      </c>
      <c r="I56" s="10">
        <v>10.028</v>
      </c>
      <c r="J56" s="10">
        <v>11.548</v>
      </c>
      <c r="K56" s="10">
        <v>12.56</v>
      </c>
      <c r="L56" s="10">
        <v>5.2789999999999999</v>
      </c>
      <c r="M56" s="11"/>
      <c r="N56" s="7">
        <v>100</v>
      </c>
      <c r="P56" s="7">
        <v>100</v>
      </c>
      <c r="Q56" s="12">
        <v>1165</v>
      </c>
      <c r="R56" s="12">
        <v>1383</v>
      </c>
      <c r="S56" s="12">
        <v>1602</v>
      </c>
      <c r="T56" s="12">
        <v>1820</v>
      </c>
      <c r="U56" s="12"/>
    </row>
    <row r="57" spans="1:21" s="7" customFormat="1" x14ac:dyDescent="0.35">
      <c r="A57" s="7" t="s">
        <v>15</v>
      </c>
      <c r="B57" s="8">
        <v>10.75</v>
      </c>
      <c r="C57" s="7">
        <v>55.5</v>
      </c>
      <c r="D57" s="7">
        <v>0.495</v>
      </c>
      <c r="E57" s="7">
        <v>12.57</v>
      </c>
      <c r="F57" s="9">
        <v>9.6999999999999993</v>
      </c>
      <c r="G57" s="9" t="s">
        <v>42</v>
      </c>
      <c r="H57" s="7" t="s">
        <v>16</v>
      </c>
      <c r="I57" s="10">
        <v>9.9469999999999992</v>
      </c>
      <c r="J57" s="10">
        <v>11.625999999999999</v>
      </c>
      <c r="K57" s="10">
        <v>12.56</v>
      </c>
      <c r="L57" s="10">
        <v>5.2789999999999999</v>
      </c>
      <c r="M57" s="11"/>
      <c r="N57" s="7">
        <v>100</v>
      </c>
      <c r="P57" s="7">
        <v>100</v>
      </c>
      <c r="Q57" s="12">
        <v>1276</v>
      </c>
      <c r="R57" s="12">
        <v>1515</v>
      </c>
      <c r="S57" s="12">
        <v>1754</v>
      </c>
      <c r="T57" s="12">
        <v>1993</v>
      </c>
      <c r="U57" s="12"/>
    </row>
    <row r="58" spans="1:21" s="7" customFormat="1" x14ac:dyDescent="0.35">
      <c r="A58" s="7" t="s">
        <v>15</v>
      </c>
      <c r="B58" s="8">
        <v>10.75</v>
      </c>
      <c r="C58" s="7">
        <v>60.7</v>
      </c>
      <c r="D58" s="7">
        <v>0.54500000000000004</v>
      </c>
      <c r="E58" s="7">
        <v>13.84</v>
      </c>
      <c r="F58" s="9">
        <v>9.5039999999999996</v>
      </c>
      <c r="G58" s="9"/>
      <c r="H58" s="7" t="s">
        <v>16</v>
      </c>
      <c r="I58" s="10">
        <v>9.859</v>
      </c>
      <c r="J58" s="10">
        <v>11.711</v>
      </c>
      <c r="K58" s="10">
        <v>12.56</v>
      </c>
      <c r="L58" s="10">
        <v>5.2789999999999999</v>
      </c>
      <c r="M58" s="11"/>
      <c r="N58" s="7">
        <v>100</v>
      </c>
      <c r="P58" s="7">
        <v>100</v>
      </c>
      <c r="Q58" s="12">
        <v>1398</v>
      </c>
      <c r="R58" s="12">
        <v>1660</v>
      </c>
      <c r="S58" s="12">
        <v>1922</v>
      </c>
      <c r="T58" s="12">
        <v>2184</v>
      </c>
      <c r="U58" s="12"/>
    </row>
    <row r="59" spans="1:21" s="7" customFormat="1" x14ac:dyDescent="0.35">
      <c r="A59" s="7" t="s">
        <v>15</v>
      </c>
      <c r="B59" s="8">
        <v>10.75</v>
      </c>
      <c r="C59" s="7">
        <v>65.7</v>
      </c>
      <c r="D59" s="7">
        <v>0.59499999999999997</v>
      </c>
      <c r="E59" s="7">
        <v>15.11</v>
      </c>
      <c r="F59" s="9">
        <v>9.5</v>
      </c>
      <c r="G59" s="9" t="s">
        <v>42</v>
      </c>
      <c r="H59" s="7" t="s">
        <v>16</v>
      </c>
      <c r="I59" s="10">
        <v>9.7620000000000005</v>
      </c>
      <c r="J59" s="10">
        <v>11.778</v>
      </c>
      <c r="K59" s="10">
        <v>12.717000000000001</v>
      </c>
      <c r="L59" s="10">
        <v>5.3579999999999997</v>
      </c>
      <c r="M59" s="11"/>
      <c r="N59" s="7">
        <v>100</v>
      </c>
      <c r="P59" s="7">
        <v>100</v>
      </c>
      <c r="Q59" s="12">
        <v>1519</v>
      </c>
      <c r="R59" s="12">
        <v>1803</v>
      </c>
      <c r="S59" s="12">
        <v>2088</v>
      </c>
      <c r="T59" s="12">
        <v>2373</v>
      </c>
      <c r="U59" s="12"/>
    </row>
    <row r="60" spans="1:21" s="7" customFormat="1" x14ac:dyDescent="0.35">
      <c r="A60" s="7" t="s">
        <v>15</v>
      </c>
      <c r="B60" s="8">
        <v>10.75</v>
      </c>
      <c r="C60" s="7">
        <v>71.099999999999994</v>
      </c>
      <c r="D60" s="7">
        <v>0.65</v>
      </c>
      <c r="E60" s="7">
        <v>16.510000000000002</v>
      </c>
      <c r="F60" s="9">
        <v>9.375</v>
      </c>
      <c r="G60" s="9" t="s">
        <v>42</v>
      </c>
      <c r="H60" s="7" t="s">
        <v>16</v>
      </c>
      <c r="I60" s="10">
        <v>9.4429999999999996</v>
      </c>
      <c r="J60" s="10">
        <v>11.839</v>
      </c>
      <c r="K60" s="10">
        <v>13.268000000000001</v>
      </c>
      <c r="L60" s="10">
        <v>5.6379999999999999</v>
      </c>
      <c r="M60" s="11"/>
      <c r="N60" s="7">
        <v>100</v>
      </c>
      <c r="P60" s="7">
        <v>100</v>
      </c>
      <c r="Q60" s="12">
        <v>1650</v>
      </c>
      <c r="R60" s="12">
        <v>1959</v>
      </c>
      <c r="S60" s="12">
        <v>2269</v>
      </c>
      <c r="T60" s="12">
        <v>2578</v>
      </c>
      <c r="U60" s="12"/>
    </row>
    <row r="61" spans="1:21" s="7" customFormat="1" x14ac:dyDescent="0.35">
      <c r="A61" s="7" t="s">
        <v>15</v>
      </c>
      <c r="B61" s="8">
        <v>10.75</v>
      </c>
      <c r="C61" s="7">
        <v>73.2</v>
      </c>
      <c r="D61" s="7">
        <v>0.67200000000000004</v>
      </c>
      <c r="E61" s="7">
        <v>17.07</v>
      </c>
      <c r="F61" s="9">
        <v>9.33</v>
      </c>
      <c r="G61" s="9" t="s">
        <v>42</v>
      </c>
      <c r="H61" s="7" t="s">
        <v>16</v>
      </c>
      <c r="I61" s="10">
        <v>9.3940000000000001</v>
      </c>
      <c r="J61" s="10">
        <v>11.875999999999999</v>
      </c>
      <c r="K61" s="10">
        <v>13.268000000000001</v>
      </c>
      <c r="L61" s="10">
        <v>5.6379999999999999</v>
      </c>
      <c r="M61" s="11"/>
      <c r="N61" s="7">
        <v>100</v>
      </c>
      <c r="P61" s="7">
        <v>100</v>
      </c>
      <c r="Q61" s="12">
        <v>1702</v>
      </c>
      <c r="R61" s="12">
        <v>2021</v>
      </c>
      <c r="S61" s="12">
        <v>2340</v>
      </c>
      <c r="T61" s="12">
        <v>2660</v>
      </c>
      <c r="U61" s="12"/>
    </row>
    <row r="62" spans="1:21" s="7" customFormat="1" x14ac:dyDescent="0.35">
      <c r="A62" s="7" t="s">
        <v>15</v>
      </c>
      <c r="B62" s="8">
        <v>11.75</v>
      </c>
      <c r="C62" s="7">
        <v>54</v>
      </c>
      <c r="D62" s="7">
        <v>0.435</v>
      </c>
      <c r="E62" s="7">
        <v>11.05</v>
      </c>
      <c r="F62" s="9">
        <v>10.724</v>
      </c>
      <c r="G62" s="9"/>
      <c r="H62" s="7" t="s">
        <v>16</v>
      </c>
      <c r="I62" s="10">
        <v>11.063000000000001</v>
      </c>
      <c r="J62" s="10">
        <v>12.54</v>
      </c>
      <c r="K62" s="10">
        <v>12.087</v>
      </c>
      <c r="L62" s="10">
        <v>5.0430000000000001</v>
      </c>
      <c r="M62" s="11"/>
      <c r="N62" s="7">
        <v>100</v>
      </c>
      <c r="P62" s="7">
        <v>100</v>
      </c>
      <c r="Q62" s="12">
        <v>1237</v>
      </c>
      <c r="R62" s="12">
        <v>1469</v>
      </c>
      <c r="S62" s="12">
        <v>1701</v>
      </c>
      <c r="T62" s="12">
        <v>1933</v>
      </c>
      <c r="U62" s="12"/>
    </row>
    <row r="63" spans="1:21" s="7" customFormat="1" x14ac:dyDescent="0.35">
      <c r="A63" s="7" t="s">
        <v>15</v>
      </c>
      <c r="B63" s="8">
        <v>11.75</v>
      </c>
      <c r="C63" s="7">
        <v>60</v>
      </c>
      <c r="D63" s="7">
        <v>0.48899999999999999</v>
      </c>
      <c r="E63" s="7">
        <v>12.42</v>
      </c>
      <c r="F63" s="9">
        <v>10.625</v>
      </c>
      <c r="G63" s="9" t="s">
        <v>41</v>
      </c>
      <c r="H63" s="7" t="s">
        <v>16</v>
      </c>
      <c r="I63" s="10">
        <v>10.965999999999999</v>
      </c>
      <c r="J63" s="10">
        <v>12.622999999999999</v>
      </c>
      <c r="K63" s="10">
        <v>12.56</v>
      </c>
      <c r="L63" s="10">
        <v>5.2789999999999999</v>
      </c>
      <c r="M63" s="11"/>
      <c r="N63" s="7">
        <v>100</v>
      </c>
      <c r="P63" s="7">
        <v>100</v>
      </c>
      <c r="Q63" s="12">
        <v>1384</v>
      </c>
      <c r="R63" s="12">
        <v>1644</v>
      </c>
      <c r="S63" s="12">
        <v>1903</v>
      </c>
      <c r="T63" s="12">
        <v>2163</v>
      </c>
      <c r="U63" s="12"/>
    </row>
    <row r="64" spans="1:21" s="7" customFormat="1" x14ac:dyDescent="0.35">
      <c r="A64" s="7" t="s">
        <v>15</v>
      </c>
      <c r="B64" s="8">
        <v>11.75</v>
      </c>
      <c r="C64" s="7">
        <v>65</v>
      </c>
      <c r="D64" s="7">
        <v>0.53400000000000003</v>
      </c>
      <c r="E64" s="7">
        <v>13.56</v>
      </c>
      <c r="F64" s="9">
        <v>10.625</v>
      </c>
      <c r="G64" s="9" t="s">
        <v>41</v>
      </c>
      <c r="H64" s="7" t="s">
        <v>16</v>
      </c>
      <c r="I64" s="10">
        <v>10.885</v>
      </c>
      <c r="J64" s="10">
        <v>12.701000000000001</v>
      </c>
      <c r="K64" s="10">
        <v>12.56</v>
      </c>
      <c r="L64" s="10">
        <v>5.2789999999999999</v>
      </c>
      <c r="M64" s="11"/>
      <c r="N64" s="7">
        <v>100</v>
      </c>
      <c r="P64" s="7">
        <v>100</v>
      </c>
      <c r="Q64" s="12">
        <v>1505</v>
      </c>
      <c r="R64" s="12">
        <v>1788</v>
      </c>
      <c r="S64" s="12">
        <v>2070</v>
      </c>
      <c r="T64" s="12">
        <v>2352</v>
      </c>
      <c r="U64" s="12"/>
    </row>
    <row r="65" spans="1:21" s="7" customFormat="1" x14ac:dyDescent="0.35">
      <c r="A65" s="7" t="s">
        <v>15</v>
      </c>
      <c r="B65" s="8">
        <v>11.75</v>
      </c>
      <c r="C65" s="7">
        <v>71</v>
      </c>
      <c r="D65" s="7">
        <v>0.58199999999999996</v>
      </c>
      <c r="E65" s="7">
        <v>14.78</v>
      </c>
      <c r="F65" s="9">
        <v>10.5</v>
      </c>
      <c r="G65" s="9" t="s">
        <v>42</v>
      </c>
      <c r="H65" s="7" t="s">
        <v>16</v>
      </c>
      <c r="I65" s="10">
        <v>10.807</v>
      </c>
      <c r="J65" s="10">
        <v>12.77</v>
      </c>
      <c r="K65" s="10">
        <v>12.56</v>
      </c>
      <c r="L65" s="10">
        <v>5.2789999999999999</v>
      </c>
      <c r="M65" s="11"/>
      <c r="N65" s="7">
        <v>100</v>
      </c>
      <c r="P65" s="7">
        <v>100</v>
      </c>
      <c r="Q65" s="12">
        <v>1634</v>
      </c>
      <c r="R65" s="12">
        <v>1940</v>
      </c>
      <c r="S65" s="12">
        <v>2246</v>
      </c>
      <c r="T65" s="12">
        <v>2553</v>
      </c>
      <c r="U65" s="12"/>
    </row>
    <row r="66" spans="1:21" s="7" customFormat="1" x14ac:dyDescent="0.35">
      <c r="A66" s="7" t="s">
        <v>15</v>
      </c>
      <c r="B66" s="8">
        <v>11.875</v>
      </c>
      <c r="C66" s="7">
        <v>67.8</v>
      </c>
      <c r="D66" s="7">
        <v>0.55000000000000004</v>
      </c>
      <c r="E66" s="7">
        <v>13.97</v>
      </c>
      <c r="F66" s="9">
        <v>10.619</v>
      </c>
      <c r="G66" s="9"/>
      <c r="H66" s="7" t="s">
        <v>16</v>
      </c>
      <c r="I66" s="10">
        <v>10.981</v>
      </c>
      <c r="J66" s="10">
        <v>12.847</v>
      </c>
      <c r="K66" s="10">
        <v>12.795999999999999</v>
      </c>
      <c r="L66" s="10">
        <v>5.3979999999999997</v>
      </c>
      <c r="M66" s="11"/>
      <c r="N66" s="7">
        <v>100</v>
      </c>
      <c r="P66" s="7">
        <v>100</v>
      </c>
      <c r="Q66" s="12">
        <v>1565</v>
      </c>
      <c r="R66" s="12">
        <v>1859</v>
      </c>
      <c r="S66" s="12">
        <v>2152</v>
      </c>
      <c r="T66" s="12">
        <v>2446</v>
      </c>
      <c r="U66" s="12"/>
    </row>
    <row r="67" spans="1:21" s="7" customFormat="1" x14ac:dyDescent="0.35">
      <c r="A67" s="7" t="s">
        <v>15</v>
      </c>
      <c r="B67" s="8">
        <v>11.875</v>
      </c>
      <c r="C67" s="7">
        <v>71.8</v>
      </c>
      <c r="D67" s="7">
        <v>0.58199999999999996</v>
      </c>
      <c r="E67" s="7">
        <v>14.78</v>
      </c>
      <c r="F67" s="9">
        <v>10.625</v>
      </c>
      <c r="G67" s="9" t="s">
        <v>42</v>
      </c>
      <c r="H67" s="7" t="s">
        <v>16</v>
      </c>
      <c r="I67" s="10">
        <v>10.933</v>
      </c>
      <c r="J67" s="10">
        <v>12.894</v>
      </c>
      <c r="K67" s="10">
        <v>12.638</v>
      </c>
      <c r="L67" s="10">
        <v>5.319</v>
      </c>
      <c r="M67" s="11"/>
      <c r="N67" s="7">
        <v>100</v>
      </c>
      <c r="P67" s="7">
        <v>100</v>
      </c>
      <c r="Q67" s="12">
        <v>1652</v>
      </c>
      <c r="R67" s="12">
        <v>1962</v>
      </c>
      <c r="S67" s="12">
        <v>2271</v>
      </c>
      <c r="T67" s="12">
        <v>2581</v>
      </c>
      <c r="U67" s="12"/>
    </row>
    <row r="68" spans="1:21" s="7" customFormat="1" x14ac:dyDescent="0.35">
      <c r="A68" s="7" t="s">
        <v>15</v>
      </c>
      <c r="B68" s="8">
        <v>13.375</v>
      </c>
      <c r="C68" s="7">
        <v>61</v>
      </c>
      <c r="D68" s="7">
        <v>0.43</v>
      </c>
      <c r="E68" s="7">
        <v>10.92</v>
      </c>
      <c r="F68" s="9">
        <v>12.359</v>
      </c>
      <c r="G68" s="9"/>
      <c r="H68" s="7" t="s">
        <v>16</v>
      </c>
      <c r="I68" s="10">
        <v>12.709</v>
      </c>
      <c r="J68" s="10">
        <v>14.15</v>
      </c>
      <c r="K68" s="10">
        <v>12.56</v>
      </c>
      <c r="L68" s="10">
        <v>5.2789999999999999</v>
      </c>
      <c r="M68" s="11"/>
      <c r="N68" s="7">
        <v>100</v>
      </c>
      <c r="P68" s="7">
        <v>100</v>
      </c>
      <c r="Q68" s="12">
        <v>1399</v>
      </c>
      <c r="R68" s="12">
        <v>1661</v>
      </c>
      <c r="S68" s="12">
        <v>1924</v>
      </c>
      <c r="T68" s="12">
        <v>2186</v>
      </c>
      <c r="U68" s="12"/>
    </row>
    <row r="69" spans="1:21" s="7" customFormat="1" x14ac:dyDescent="0.35">
      <c r="A69" s="7" t="s">
        <v>15</v>
      </c>
      <c r="B69" s="8">
        <v>13.375</v>
      </c>
      <c r="C69" s="7">
        <v>68</v>
      </c>
      <c r="D69" s="7">
        <v>0.48</v>
      </c>
      <c r="E69" s="7">
        <v>12.79</v>
      </c>
      <c r="F69" s="9">
        <v>12.259</v>
      </c>
      <c r="G69" s="9"/>
      <c r="H69" s="7" t="s">
        <v>16</v>
      </c>
      <c r="I69" s="10">
        <v>12.619</v>
      </c>
      <c r="J69" s="10">
        <v>14.225</v>
      </c>
      <c r="K69" s="10">
        <v>13.111000000000001</v>
      </c>
      <c r="L69" s="10">
        <v>5.5549999999999997</v>
      </c>
      <c r="M69" s="11"/>
      <c r="N69" s="7">
        <v>100</v>
      </c>
      <c r="P69" s="7">
        <v>100</v>
      </c>
      <c r="Q69" s="12">
        <v>1556</v>
      </c>
      <c r="R69" s="12">
        <v>1847</v>
      </c>
      <c r="S69" s="12">
        <v>2139</v>
      </c>
      <c r="T69" s="12">
        <v>2431</v>
      </c>
      <c r="U69" s="12"/>
    </row>
    <row r="70" spans="1:21" s="7" customFormat="1" x14ac:dyDescent="0.35">
      <c r="A70" s="7" t="s">
        <v>15</v>
      </c>
      <c r="B70" s="8">
        <v>13.375</v>
      </c>
      <c r="C70" s="7">
        <v>72</v>
      </c>
      <c r="D70" s="7">
        <v>0.51400000000000001</v>
      </c>
      <c r="E70" s="7">
        <v>13.06</v>
      </c>
      <c r="F70" s="9">
        <v>12.25</v>
      </c>
      <c r="G70" s="9" t="s">
        <v>41</v>
      </c>
      <c r="H70" s="7" t="s">
        <v>16</v>
      </c>
      <c r="I70" s="10">
        <v>12.558</v>
      </c>
      <c r="J70" s="10">
        <v>14.286</v>
      </c>
      <c r="K70" s="10">
        <v>13.111000000000001</v>
      </c>
      <c r="L70" s="10">
        <v>5.5549999999999997</v>
      </c>
      <c r="M70" s="11"/>
      <c r="N70" s="7">
        <v>100</v>
      </c>
      <c r="P70" s="7">
        <v>100</v>
      </c>
      <c r="Q70" s="12">
        <v>1661</v>
      </c>
      <c r="R70" s="12">
        <v>1973</v>
      </c>
      <c r="S70" s="12">
        <v>2284</v>
      </c>
      <c r="T70" s="12">
        <v>2596</v>
      </c>
      <c r="U70" s="12"/>
    </row>
    <row r="71" spans="1:21" s="7" customFormat="1" x14ac:dyDescent="0.35">
      <c r="A71" s="13" t="s">
        <v>15</v>
      </c>
      <c r="B71" s="14">
        <v>13.375</v>
      </c>
      <c r="C71" s="13">
        <v>77</v>
      </c>
      <c r="D71" s="13">
        <v>0.55000000000000004</v>
      </c>
      <c r="E71" s="13">
        <v>13.97</v>
      </c>
      <c r="F71" s="9">
        <v>12.119</v>
      </c>
      <c r="G71" s="9"/>
      <c r="H71" s="7" t="s">
        <v>16</v>
      </c>
      <c r="I71" s="10">
        <v>12.502000000000001</v>
      </c>
      <c r="J71" s="10">
        <v>14.319000000000001</v>
      </c>
      <c r="K71" s="10">
        <v>13.819000000000001</v>
      </c>
      <c r="L71" s="10">
        <v>5.91</v>
      </c>
      <c r="M71" s="11"/>
      <c r="N71" s="7">
        <v>100</v>
      </c>
      <c r="P71" s="7">
        <v>100</v>
      </c>
      <c r="Q71" s="12">
        <v>1773</v>
      </c>
      <c r="R71" s="12">
        <v>2105</v>
      </c>
      <c r="S71" s="12">
        <v>2438</v>
      </c>
      <c r="T71" s="12">
        <v>2770</v>
      </c>
      <c r="U71" s="12"/>
    </row>
    <row r="72" spans="1:21" s="7" customFormat="1" x14ac:dyDescent="0.35">
      <c r="A72" s="7" t="s">
        <v>15</v>
      </c>
      <c r="B72" s="8">
        <v>13.625</v>
      </c>
      <c r="C72" s="7">
        <v>88.2</v>
      </c>
      <c r="D72" s="7">
        <v>0.625</v>
      </c>
      <c r="E72" s="7">
        <v>15.88</v>
      </c>
      <c r="F72" s="9">
        <v>12.25</v>
      </c>
      <c r="G72" s="9" t="s">
        <v>42</v>
      </c>
      <c r="H72" s="7" t="s">
        <v>16</v>
      </c>
      <c r="I72" s="10">
        <v>12.444000000000001</v>
      </c>
      <c r="J72" s="10">
        <v>14.699</v>
      </c>
      <c r="K72" s="10">
        <v>14.843</v>
      </c>
      <c r="L72" s="10">
        <v>6.4249999999999998</v>
      </c>
      <c r="M72" s="11"/>
      <c r="N72" s="7">
        <v>100</v>
      </c>
      <c r="P72" s="7">
        <v>100</v>
      </c>
      <c r="Q72" s="12">
        <v>2042</v>
      </c>
      <c r="R72" s="12">
        <v>2425</v>
      </c>
      <c r="S72" s="12">
        <v>2808</v>
      </c>
      <c r="T72" s="12">
        <v>3191</v>
      </c>
      <c r="U72" s="12"/>
    </row>
    <row r="73" spans="1:21" s="7" customFormat="1" x14ac:dyDescent="0.35">
      <c r="A73" s="7" t="s">
        <v>15</v>
      </c>
      <c r="B73" s="8">
        <v>14</v>
      </c>
      <c r="C73" s="7">
        <v>82.5</v>
      </c>
      <c r="D73" s="7">
        <v>0.56200000000000006</v>
      </c>
      <c r="E73" s="7">
        <v>14.27</v>
      </c>
      <c r="F73" s="9">
        <v>12.75</v>
      </c>
      <c r="G73" s="9" t="s">
        <v>42</v>
      </c>
      <c r="H73" s="7" t="s">
        <v>16</v>
      </c>
      <c r="I73" s="10">
        <v>13.1</v>
      </c>
      <c r="J73" s="10">
        <v>15.022</v>
      </c>
      <c r="K73" s="10">
        <v>13.741</v>
      </c>
      <c r="L73" s="10">
        <v>5.8780000000000001</v>
      </c>
      <c r="M73" s="11"/>
      <c r="N73" s="7">
        <v>100</v>
      </c>
      <c r="P73" s="7">
        <v>100</v>
      </c>
      <c r="Q73" s="12">
        <v>1898</v>
      </c>
      <c r="R73" s="12">
        <v>2254</v>
      </c>
      <c r="S73" s="12">
        <v>2610</v>
      </c>
      <c r="T73" s="12">
        <v>2966</v>
      </c>
      <c r="U73" s="12"/>
    </row>
    <row r="74" spans="1:21" s="7" customFormat="1" x14ac:dyDescent="0.35">
      <c r="A74" s="7" t="s">
        <v>15</v>
      </c>
      <c r="B74" s="8">
        <v>14</v>
      </c>
      <c r="C74" s="7">
        <v>86</v>
      </c>
      <c r="D74" s="7">
        <v>0.6</v>
      </c>
      <c r="E74" s="7">
        <v>15.24</v>
      </c>
      <c r="F74" s="9">
        <v>12.613</v>
      </c>
      <c r="G74" s="9"/>
      <c r="H74" s="7" t="s">
        <v>16</v>
      </c>
      <c r="I74" s="10">
        <v>13.031000000000001</v>
      </c>
      <c r="J74" s="10">
        <v>15.095000000000001</v>
      </c>
      <c r="K74" s="10">
        <v>13.741</v>
      </c>
      <c r="L74" s="10">
        <v>5.8780000000000001</v>
      </c>
      <c r="M74" s="11"/>
      <c r="N74" s="7">
        <v>100</v>
      </c>
      <c r="P74" s="7">
        <v>100</v>
      </c>
      <c r="Q74" s="12">
        <v>2021</v>
      </c>
      <c r="R74" s="12">
        <v>2400</v>
      </c>
      <c r="S74" s="12">
        <v>2778</v>
      </c>
      <c r="T74" s="12">
        <v>3157</v>
      </c>
      <c r="U74" s="12"/>
    </row>
    <row r="75" spans="1:21" s="7" customFormat="1" x14ac:dyDescent="0.35">
      <c r="A75" s="7" t="s">
        <v>15</v>
      </c>
      <c r="B75" s="8">
        <v>14</v>
      </c>
      <c r="C75" s="7">
        <v>93</v>
      </c>
      <c r="D75" s="7">
        <v>0.65</v>
      </c>
      <c r="E75" s="7">
        <v>16.510000000000002</v>
      </c>
      <c r="F75" s="9">
        <v>12.513</v>
      </c>
      <c r="G75" s="9"/>
      <c r="H75" s="7" t="s">
        <v>16</v>
      </c>
      <c r="I75" s="10">
        <v>12.941000000000001</v>
      </c>
      <c r="J75" s="10">
        <v>15.097</v>
      </c>
      <c r="K75" s="10">
        <v>16.181999999999999</v>
      </c>
      <c r="L75" s="10">
        <v>7.0949999999999998</v>
      </c>
      <c r="M75" s="11"/>
      <c r="N75" s="7">
        <v>100</v>
      </c>
      <c r="P75" s="7">
        <v>100</v>
      </c>
      <c r="Q75" s="12">
        <v>2181</v>
      </c>
      <c r="R75" s="12">
        <v>2590</v>
      </c>
      <c r="S75" s="12">
        <v>2999</v>
      </c>
      <c r="T75" s="12">
        <v>3408</v>
      </c>
      <c r="U75" s="12"/>
    </row>
    <row r="76" spans="1:21" s="7" customFormat="1" x14ac:dyDescent="0.35">
      <c r="A76" s="7" t="s">
        <v>15</v>
      </c>
      <c r="B76" s="8">
        <v>14</v>
      </c>
      <c r="C76" s="7">
        <v>96.9</v>
      </c>
      <c r="D76" s="7">
        <v>0.67</v>
      </c>
      <c r="E76" s="7">
        <v>17.02</v>
      </c>
      <c r="F76" s="9">
        <v>12.473000000000001</v>
      </c>
      <c r="G76" s="9"/>
      <c r="H76" s="7" t="s">
        <v>16</v>
      </c>
      <c r="I76" s="10">
        <v>12.903</v>
      </c>
      <c r="J76" s="10">
        <v>15.134</v>
      </c>
      <c r="K76" s="10">
        <v>16.181999999999999</v>
      </c>
      <c r="L76" s="10">
        <v>7.0949999999999998</v>
      </c>
      <c r="M76" s="11"/>
      <c r="N76" s="7">
        <v>100</v>
      </c>
      <c r="P76" s="7">
        <v>100</v>
      </c>
      <c r="Q76" s="12">
        <v>2245</v>
      </c>
      <c r="R76" s="12">
        <v>2666</v>
      </c>
      <c r="S76" s="12">
        <v>3086</v>
      </c>
      <c r="T76" s="12">
        <v>3507</v>
      </c>
      <c r="U76" s="12"/>
    </row>
    <row r="77" spans="1:21" s="7" customFormat="1" x14ac:dyDescent="0.35">
      <c r="A77" s="7" t="s">
        <v>15</v>
      </c>
      <c r="B77" s="8">
        <v>14</v>
      </c>
      <c r="C77" s="7">
        <v>100</v>
      </c>
      <c r="D77" s="7">
        <v>0.7</v>
      </c>
      <c r="E77" s="7">
        <v>17.78</v>
      </c>
      <c r="F77" s="9">
        <v>12.413</v>
      </c>
      <c r="G77" s="9"/>
      <c r="H77" s="7" t="s">
        <v>16</v>
      </c>
      <c r="I77" s="10">
        <v>12.85</v>
      </c>
      <c r="J77" s="10">
        <v>15.189</v>
      </c>
      <c r="K77" s="10">
        <v>16.181999999999999</v>
      </c>
      <c r="L77" s="10">
        <v>7.0949999999999998</v>
      </c>
      <c r="M77" s="11"/>
      <c r="N77" s="7">
        <v>100</v>
      </c>
      <c r="P77" s="7">
        <v>100</v>
      </c>
      <c r="Q77" s="12">
        <v>2340</v>
      </c>
      <c r="R77" s="12">
        <v>2779</v>
      </c>
      <c r="S77" s="12">
        <v>3217</v>
      </c>
      <c r="T77" s="12">
        <v>3656</v>
      </c>
      <c r="U77" s="12"/>
    </row>
    <row r="78" spans="1:21" s="7" customFormat="1" x14ac:dyDescent="0.35">
      <c r="A78" s="7" t="s">
        <v>15</v>
      </c>
      <c r="B78" s="8">
        <v>14</v>
      </c>
      <c r="C78" s="7">
        <v>106</v>
      </c>
      <c r="D78" s="7">
        <v>0.75</v>
      </c>
      <c r="E78" s="7">
        <v>19.05</v>
      </c>
      <c r="F78" s="9">
        <v>12.313000000000001</v>
      </c>
      <c r="G78" s="9"/>
      <c r="H78" s="7" t="s">
        <v>16</v>
      </c>
      <c r="I78" s="10">
        <v>12.760999999999999</v>
      </c>
      <c r="J78" s="10">
        <v>15.282</v>
      </c>
      <c r="K78" s="10">
        <v>16.181999999999999</v>
      </c>
      <c r="L78" s="10">
        <v>7.0949999999999998</v>
      </c>
      <c r="M78" s="11"/>
      <c r="N78" s="7">
        <v>100</v>
      </c>
      <c r="P78" s="7">
        <v>100</v>
      </c>
      <c r="Q78" s="12">
        <v>2498</v>
      </c>
      <c r="R78" s="12">
        <v>2966</v>
      </c>
      <c r="S78" s="12">
        <v>3434</v>
      </c>
      <c r="T78" s="12">
        <v>3903</v>
      </c>
      <c r="U78" s="12"/>
    </row>
    <row r="79" spans="1:21" s="7" customFormat="1" x14ac:dyDescent="0.35">
      <c r="A79" s="7" t="s">
        <v>15</v>
      </c>
      <c r="B79" s="8">
        <v>14</v>
      </c>
      <c r="C79" s="7">
        <v>114</v>
      </c>
      <c r="D79" s="7">
        <v>0.8</v>
      </c>
      <c r="E79" s="7">
        <v>20.32</v>
      </c>
      <c r="F79" s="9">
        <v>12.25</v>
      </c>
      <c r="G79" s="9" t="s">
        <v>42</v>
      </c>
      <c r="H79" s="7" t="s">
        <v>16</v>
      </c>
      <c r="I79" s="10">
        <v>12.670999999999999</v>
      </c>
      <c r="J79" s="10">
        <v>15.372999999999999</v>
      </c>
      <c r="K79" s="10">
        <v>16.181999999999999</v>
      </c>
      <c r="L79" s="10">
        <v>7.0949999999999998</v>
      </c>
      <c r="M79" s="11"/>
      <c r="N79" s="7">
        <v>100</v>
      </c>
      <c r="P79" s="7">
        <v>100</v>
      </c>
      <c r="Q79" s="12">
        <v>2654</v>
      </c>
      <c r="R79" s="12">
        <v>3152</v>
      </c>
      <c r="S79" s="12">
        <v>3649</v>
      </c>
      <c r="T79" s="12">
        <v>4147</v>
      </c>
      <c r="U79" s="12"/>
    </row>
    <row r="80" spans="1:21" s="7" customFormat="1" x14ac:dyDescent="0.35">
      <c r="A80" s="7" t="s">
        <v>15</v>
      </c>
      <c r="B80" s="8">
        <v>14</v>
      </c>
      <c r="C80" s="7">
        <v>115</v>
      </c>
      <c r="D80" s="7">
        <v>0.81200000000000006</v>
      </c>
      <c r="E80" s="7">
        <v>20.62</v>
      </c>
      <c r="F80" s="9">
        <v>12.25</v>
      </c>
      <c r="G80" s="9" t="s">
        <v>42</v>
      </c>
      <c r="H80" s="7" t="s">
        <v>16</v>
      </c>
      <c r="I80" s="10">
        <v>12.670999999999999</v>
      </c>
      <c r="J80" s="10">
        <v>15.394</v>
      </c>
      <c r="K80" s="10">
        <v>16.181999999999999</v>
      </c>
      <c r="L80" s="10">
        <v>7.0949999999999998</v>
      </c>
      <c r="M80" s="11"/>
      <c r="N80" s="7">
        <v>100</v>
      </c>
      <c r="P80" s="7">
        <v>100</v>
      </c>
      <c r="Q80" s="12">
        <v>2691</v>
      </c>
      <c r="R80" s="12">
        <v>3196</v>
      </c>
      <c r="S80" s="12">
        <v>3701</v>
      </c>
      <c r="T80" s="12">
        <v>4205</v>
      </c>
      <c r="U80" s="12"/>
    </row>
    <row r="81" spans="1:21" s="7" customFormat="1" x14ac:dyDescent="0.35">
      <c r="A81" s="7" t="s">
        <v>32</v>
      </c>
      <c r="B81" s="8">
        <v>7.625</v>
      </c>
      <c r="C81" s="7">
        <v>51.2</v>
      </c>
      <c r="D81" s="7">
        <v>0.68700000000000006</v>
      </c>
      <c r="E81" s="7">
        <v>17.45</v>
      </c>
      <c r="F81" s="9">
        <v>6.1260000000000003</v>
      </c>
      <c r="G81" s="9"/>
      <c r="H81" s="7" t="s">
        <v>17</v>
      </c>
      <c r="I81" s="10">
        <v>6.3090000000000002</v>
      </c>
      <c r="J81" s="10">
        <v>8.0950000000000006</v>
      </c>
      <c r="K81" s="10">
        <v>15.91</v>
      </c>
      <c r="L81" s="10">
        <v>6.9569999999999999</v>
      </c>
      <c r="M81" s="11"/>
      <c r="N81" s="8">
        <v>78</v>
      </c>
      <c r="P81" s="7">
        <v>60</v>
      </c>
      <c r="Q81" s="12">
        <v>934</v>
      </c>
      <c r="R81" s="12">
        <v>1109</v>
      </c>
      <c r="S81" s="12">
        <v>1284</v>
      </c>
      <c r="T81" s="12">
        <v>1459</v>
      </c>
      <c r="U81" s="12"/>
    </row>
    <row r="82" spans="1:21" s="7" customFormat="1" x14ac:dyDescent="0.35">
      <c r="A82" s="7" t="s">
        <v>32</v>
      </c>
      <c r="B82" s="8">
        <v>7.625</v>
      </c>
      <c r="C82" s="7">
        <v>55.3</v>
      </c>
      <c r="D82" s="7">
        <v>0.75</v>
      </c>
      <c r="E82" s="7">
        <v>19.05</v>
      </c>
      <c r="F82" s="9">
        <v>6</v>
      </c>
      <c r="G82" s="9"/>
      <c r="H82" s="7" t="s">
        <v>18</v>
      </c>
      <c r="I82" s="10">
        <v>6.1239999999999997</v>
      </c>
      <c r="J82" s="10">
        <v>8.1210000000000004</v>
      </c>
      <c r="K82" s="10">
        <v>16.61</v>
      </c>
      <c r="L82" s="10">
        <v>7.3109999999999999</v>
      </c>
      <c r="M82" s="11"/>
      <c r="N82" s="8">
        <v>76.8</v>
      </c>
      <c r="P82" s="7">
        <v>60</v>
      </c>
      <c r="Q82" s="12">
        <v>995</v>
      </c>
      <c r="R82" s="12">
        <v>1181</v>
      </c>
      <c r="S82" s="12">
        <v>1368</v>
      </c>
      <c r="T82" s="12">
        <v>1554</v>
      </c>
      <c r="U82" s="12"/>
    </row>
    <row r="83" spans="1:21" s="7" customFormat="1" x14ac:dyDescent="0.35">
      <c r="A83" s="7" t="s">
        <v>32</v>
      </c>
      <c r="B83" s="8">
        <v>7.625</v>
      </c>
      <c r="C83" s="7">
        <v>59.2</v>
      </c>
      <c r="D83" s="7">
        <v>0.81200000000000006</v>
      </c>
      <c r="E83" s="7">
        <v>20.62</v>
      </c>
      <c r="F83" s="9">
        <v>5.8760000000000003</v>
      </c>
      <c r="G83" s="9"/>
      <c r="H83" s="7" t="s">
        <v>19</v>
      </c>
      <c r="I83" s="10">
        <v>5.9939999999999998</v>
      </c>
      <c r="J83" s="10">
        <v>8.141</v>
      </c>
      <c r="K83" s="10">
        <v>17.48</v>
      </c>
      <c r="L83" s="10">
        <v>7.7370000000000001</v>
      </c>
      <c r="M83" s="11"/>
      <c r="N83" s="8">
        <v>76</v>
      </c>
      <c r="P83" s="7">
        <v>60</v>
      </c>
      <c r="Q83" s="12">
        <v>1057</v>
      </c>
      <c r="R83" s="12">
        <v>1255</v>
      </c>
      <c r="S83" s="12">
        <v>1453</v>
      </c>
      <c r="T83" s="12">
        <v>1651</v>
      </c>
      <c r="U83" s="12"/>
    </row>
    <row r="84" spans="1:21" s="7" customFormat="1" x14ac:dyDescent="0.35">
      <c r="A84" s="7" t="s">
        <v>32</v>
      </c>
      <c r="B84" s="8">
        <f>7+5/8</f>
        <v>7.625</v>
      </c>
      <c r="C84" s="7">
        <v>61.5</v>
      </c>
      <c r="D84" s="7">
        <v>0.85</v>
      </c>
      <c r="E84" s="7">
        <v>21.59</v>
      </c>
      <c r="F84" s="9">
        <v>5.875</v>
      </c>
      <c r="G84" s="9" t="s">
        <v>42</v>
      </c>
      <c r="H84" s="7" t="s">
        <v>20</v>
      </c>
      <c r="I84" s="10">
        <v>5.9390000000000001</v>
      </c>
      <c r="J84" s="10">
        <v>8.15</v>
      </c>
      <c r="K84" s="10">
        <v>18.190000000000001</v>
      </c>
      <c r="L84" s="10">
        <v>8.1</v>
      </c>
      <c r="M84" s="11"/>
      <c r="N84" s="8">
        <v>74.8</v>
      </c>
      <c r="P84" s="7">
        <v>60</v>
      </c>
      <c r="Q84" s="12">
        <v>1085</v>
      </c>
      <c r="R84" s="12">
        <v>1289</v>
      </c>
      <c r="S84" s="12">
        <v>1492</v>
      </c>
      <c r="T84" s="12">
        <v>1696</v>
      </c>
      <c r="U84" s="12"/>
    </row>
    <row r="85" spans="1:21" s="7" customFormat="1" x14ac:dyDescent="0.35">
      <c r="A85" s="7" t="s">
        <v>32</v>
      </c>
      <c r="B85" s="15">
        <f>10+1/2</f>
        <v>10.5</v>
      </c>
      <c r="C85" s="7">
        <v>96</v>
      </c>
      <c r="D85" s="7">
        <v>0.94</v>
      </c>
      <c r="E85" s="7">
        <v>23.88</v>
      </c>
      <c r="F85" s="9">
        <v>8.5</v>
      </c>
      <c r="G85" s="9" t="s">
        <v>42</v>
      </c>
      <c r="H85" s="7" t="s">
        <v>21</v>
      </c>
      <c r="I85" s="10">
        <v>8.6590000000000007</v>
      </c>
      <c r="J85" s="10">
        <v>11.191000000000001</v>
      </c>
      <c r="K85" s="10">
        <v>17.72</v>
      </c>
      <c r="L85" s="10">
        <v>7.8550000000000004</v>
      </c>
      <c r="M85" s="11"/>
      <c r="N85" s="8">
        <v>80</v>
      </c>
      <c r="P85" s="7">
        <v>60</v>
      </c>
      <c r="Q85" s="12">
        <v>1812</v>
      </c>
      <c r="R85" s="12">
        <v>2151</v>
      </c>
      <c r="S85" s="12">
        <v>2491</v>
      </c>
      <c r="T85" s="12">
        <v>2831</v>
      </c>
      <c r="U85" s="12"/>
    </row>
    <row r="86" spans="1:21" s="7" customFormat="1" x14ac:dyDescent="0.35">
      <c r="A86" s="7" t="s">
        <v>32</v>
      </c>
      <c r="B86" s="15">
        <f t="shared" ref="B86:B87" si="0">10+1/2</f>
        <v>10.5</v>
      </c>
      <c r="C86" s="7">
        <v>71.099999999999994</v>
      </c>
      <c r="D86" s="7">
        <v>0.65</v>
      </c>
      <c r="E86" s="7">
        <v>16.510000000000002</v>
      </c>
      <c r="F86" s="9">
        <v>9.2940000000000005</v>
      </c>
      <c r="G86" s="9"/>
      <c r="H86" s="7" t="s">
        <v>22</v>
      </c>
      <c r="I86" s="10">
        <v>9.6310000000000002</v>
      </c>
      <c r="J86" s="10">
        <v>11.436999999999999</v>
      </c>
      <c r="K86" s="10">
        <v>17.05</v>
      </c>
      <c r="L86" s="10">
        <v>7.5350000000000001</v>
      </c>
      <c r="M86" s="11"/>
      <c r="N86" s="8">
        <v>90</v>
      </c>
      <c r="P86" s="7">
        <v>60</v>
      </c>
      <c r="Q86" s="12">
        <v>1484</v>
      </c>
      <c r="R86" s="12">
        <v>1763</v>
      </c>
      <c r="S86" s="12">
        <v>2041</v>
      </c>
      <c r="T86" s="12">
        <v>2319</v>
      </c>
      <c r="U86" s="12"/>
    </row>
    <row r="87" spans="1:21" s="7" customFormat="1" x14ac:dyDescent="0.35">
      <c r="A87" s="7" t="s">
        <v>32</v>
      </c>
      <c r="B87" s="15">
        <f t="shared" si="0"/>
        <v>10.5</v>
      </c>
      <c r="C87" s="7">
        <v>73.2</v>
      </c>
      <c r="D87" s="7">
        <v>0.67200000000000004</v>
      </c>
      <c r="E87" s="7">
        <v>17.07</v>
      </c>
      <c r="F87" s="9">
        <v>9.33</v>
      </c>
      <c r="G87" s="9" t="s">
        <v>42</v>
      </c>
      <c r="H87" s="7" t="s">
        <v>22</v>
      </c>
      <c r="I87" s="10">
        <v>9.6159999999999997</v>
      </c>
      <c r="J87" s="10">
        <v>11.471</v>
      </c>
      <c r="K87" s="10">
        <v>17.05</v>
      </c>
      <c r="L87" s="10">
        <v>7.5350000000000001</v>
      </c>
      <c r="M87" s="11"/>
      <c r="N87" s="8">
        <v>90</v>
      </c>
      <c r="P87" s="7">
        <v>60</v>
      </c>
      <c r="Q87" s="12">
        <v>1533</v>
      </c>
      <c r="R87" s="12">
        <v>1820</v>
      </c>
      <c r="S87" s="12">
        <v>2107</v>
      </c>
      <c r="T87" s="12">
        <v>2395</v>
      </c>
      <c r="U87" s="12"/>
    </row>
    <row r="88" spans="1:21" s="7" customFormat="1" x14ac:dyDescent="0.35">
      <c r="A88" s="7" t="s">
        <v>32</v>
      </c>
      <c r="B88" s="15">
        <v>10.75</v>
      </c>
      <c r="C88" s="7">
        <v>79.2</v>
      </c>
      <c r="D88" s="7">
        <v>0.73399999999999999</v>
      </c>
      <c r="E88" s="7">
        <v>18.64</v>
      </c>
      <c r="F88" s="9">
        <v>9.1259999999999994</v>
      </c>
      <c r="G88" s="9"/>
      <c r="H88" s="7" t="s">
        <v>23</v>
      </c>
      <c r="I88" s="10">
        <v>9.3369999999999997</v>
      </c>
      <c r="J88" s="10">
        <v>11.345000000000001</v>
      </c>
      <c r="K88" s="10">
        <v>17.87</v>
      </c>
      <c r="L88" s="10">
        <v>7.9370000000000003</v>
      </c>
      <c r="M88" s="11"/>
      <c r="N88" s="8">
        <v>83.6</v>
      </c>
      <c r="P88" s="7">
        <v>60</v>
      </c>
      <c r="Q88" s="12">
        <v>1545</v>
      </c>
      <c r="R88" s="12">
        <v>1834</v>
      </c>
      <c r="S88" s="12">
        <v>2124</v>
      </c>
      <c r="T88" s="12">
        <v>2413</v>
      </c>
      <c r="U88" s="12"/>
    </row>
    <row r="89" spans="1:21" s="7" customFormat="1" x14ac:dyDescent="0.35">
      <c r="A89" s="7" t="s">
        <v>32</v>
      </c>
      <c r="B89" s="15">
        <v>10.75</v>
      </c>
      <c r="C89" s="7">
        <v>85.3</v>
      </c>
      <c r="D89" s="7">
        <v>0.79700000000000004</v>
      </c>
      <c r="E89" s="7">
        <v>20.239999999999998</v>
      </c>
      <c r="F89" s="9">
        <v>9</v>
      </c>
      <c r="G89" s="9"/>
      <c r="H89" s="7" t="s">
        <v>24</v>
      </c>
      <c r="I89" s="10">
        <v>9.3520000000000003</v>
      </c>
      <c r="J89" s="10">
        <v>11.27</v>
      </c>
      <c r="K89" s="10">
        <v>18.010000000000002</v>
      </c>
      <c r="L89" s="10">
        <v>8.0060000000000002</v>
      </c>
      <c r="M89" s="11"/>
      <c r="N89" s="8">
        <v>72.599999999999994</v>
      </c>
      <c r="P89" s="7">
        <v>60</v>
      </c>
      <c r="Q89" s="12">
        <v>1448</v>
      </c>
      <c r="R89" s="12">
        <v>2059</v>
      </c>
      <c r="S89" s="12">
        <v>2384</v>
      </c>
      <c r="T89" s="12">
        <v>2709</v>
      </c>
      <c r="U89" s="12"/>
    </row>
    <row r="90" spans="1:21" s="7" customFormat="1" x14ac:dyDescent="0.35">
      <c r="A90" s="7" t="s">
        <v>32</v>
      </c>
      <c r="B90" s="15">
        <v>10.75</v>
      </c>
      <c r="C90" s="7">
        <v>100.4</v>
      </c>
      <c r="D90" s="7">
        <v>0.96</v>
      </c>
      <c r="E90" s="7">
        <v>24.38</v>
      </c>
      <c r="F90" s="9">
        <v>8.6739999999999995</v>
      </c>
      <c r="G90" s="9"/>
      <c r="H90" s="7" t="s">
        <v>21</v>
      </c>
      <c r="I90" s="10">
        <v>9.0850000000000009</v>
      </c>
      <c r="J90" s="10">
        <v>11.471</v>
      </c>
      <c r="K90" s="10">
        <v>18.43</v>
      </c>
      <c r="L90" s="10">
        <v>8.2260000000000009</v>
      </c>
      <c r="M90" s="11"/>
      <c r="N90" s="8">
        <v>79.599999999999994</v>
      </c>
      <c r="P90" s="7">
        <v>60</v>
      </c>
      <c r="Q90" s="12">
        <v>1881</v>
      </c>
      <c r="R90" s="12">
        <v>2233</v>
      </c>
      <c r="S90" s="12">
        <v>2586</v>
      </c>
      <c r="T90" s="12">
        <v>2939</v>
      </c>
      <c r="U90" s="12"/>
    </row>
    <row r="91" spans="1:21" s="7" customFormat="1" x14ac:dyDescent="0.35">
      <c r="A91" s="7" t="s">
        <v>32</v>
      </c>
      <c r="B91" s="15">
        <v>10.75</v>
      </c>
      <c r="C91" s="7">
        <v>104.3</v>
      </c>
      <c r="D91" s="11">
        <v>1</v>
      </c>
      <c r="E91" s="7">
        <v>25.4</v>
      </c>
      <c r="F91" s="9">
        <v>8.5939999999999994</v>
      </c>
      <c r="G91" s="9"/>
      <c r="H91" s="7" t="s">
        <v>25</v>
      </c>
      <c r="I91" s="10">
        <v>8.7260000000000009</v>
      </c>
      <c r="J91" s="10">
        <v>11.221</v>
      </c>
      <c r="K91" s="10">
        <v>19.53</v>
      </c>
      <c r="L91" s="10">
        <v>8.7560000000000002</v>
      </c>
      <c r="M91" s="11"/>
      <c r="N91" s="8">
        <v>70</v>
      </c>
      <c r="P91" s="7">
        <v>60</v>
      </c>
      <c r="Q91" s="12"/>
      <c r="R91" s="12">
        <v>2037</v>
      </c>
      <c r="S91" s="12">
        <v>2359</v>
      </c>
      <c r="T91" s="12">
        <v>2680</v>
      </c>
      <c r="U91" s="12"/>
    </row>
    <row r="92" spans="1:21" s="7" customFormat="1" x14ac:dyDescent="0.35">
      <c r="A92" s="7" t="s">
        <v>32</v>
      </c>
      <c r="B92" s="15">
        <v>10.75</v>
      </c>
      <c r="C92" s="7">
        <v>110.2</v>
      </c>
      <c r="D92" s="11">
        <v>1.05</v>
      </c>
      <c r="E92" s="7">
        <v>26.67</v>
      </c>
      <c r="F92" s="9">
        <v>8.4939999999999998</v>
      </c>
      <c r="G92" s="9"/>
      <c r="H92" s="7" t="s">
        <v>21</v>
      </c>
      <c r="I92" s="10">
        <v>8.8710000000000004</v>
      </c>
      <c r="J92" s="10">
        <v>11.491</v>
      </c>
      <c r="K92" s="10">
        <v>18.82</v>
      </c>
      <c r="L92" s="10">
        <v>8.4090000000000007</v>
      </c>
      <c r="M92" s="11"/>
      <c r="N92" s="8">
        <v>80</v>
      </c>
      <c r="P92" s="7">
        <v>60</v>
      </c>
      <c r="Q92" s="12">
        <v>2048</v>
      </c>
      <c r="R92" s="12">
        <v>2432</v>
      </c>
      <c r="S92" s="12">
        <v>2816</v>
      </c>
      <c r="T92" s="12">
        <v>3200</v>
      </c>
      <c r="U92" s="12"/>
    </row>
    <row r="93" spans="1:21" s="7" customFormat="1" x14ac:dyDescent="0.35">
      <c r="A93" s="7" t="s">
        <v>32</v>
      </c>
      <c r="B93" s="15">
        <f>10+7/8</f>
        <v>10.875</v>
      </c>
      <c r="C93" s="7">
        <v>72</v>
      </c>
      <c r="D93" s="7">
        <v>0.65600000000000003</v>
      </c>
      <c r="E93" s="7">
        <v>16.66</v>
      </c>
      <c r="F93" s="9">
        <v>9.407</v>
      </c>
      <c r="G93" s="9"/>
      <c r="H93" s="7" t="s">
        <v>16</v>
      </c>
      <c r="I93" s="10">
        <v>9.6690000000000005</v>
      </c>
      <c r="J93" s="10">
        <v>11.621</v>
      </c>
      <c r="K93" s="10">
        <v>16.34</v>
      </c>
      <c r="L93" s="10">
        <v>7.1779999999999999</v>
      </c>
      <c r="M93" s="11"/>
      <c r="N93" s="7">
        <v>100</v>
      </c>
      <c r="P93" s="7">
        <v>60</v>
      </c>
      <c r="Q93" s="12"/>
      <c r="R93" s="12">
        <v>1801</v>
      </c>
      <c r="S93" s="12">
        <v>2085</v>
      </c>
      <c r="T93" s="12">
        <v>2369</v>
      </c>
      <c r="U93" s="12"/>
    </row>
    <row r="94" spans="1:21" s="7" customFormat="1" x14ac:dyDescent="0.35">
      <c r="A94" s="7" t="s">
        <v>32</v>
      </c>
      <c r="B94" s="15">
        <f>12+1/4</f>
        <v>12.25</v>
      </c>
      <c r="C94" s="7">
        <v>134.25</v>
      </c>
      <c r="D94" s="11">
        <v>1.125</v>
      </c>
      <c r="E94" s="7">
        <v>28.57</v>
      </c>
      <c r="F94" s="9">
        <v>9.8439999999999994</v>
      </c>
      <c r="G94" s="9"/>
      <c r="H94" s="7" t="s">
        <v>22</v>
      </c>
      <c r="I94" s="10">
        <v>10.085000000000001</v>
      </c>
      <c r="J94" s="10">
        <v>13.23</v>
      </c>
      <c r="K94" s="10">
        <v>19.920000000000002</v>
      </c>
      <c r="L94" s="10">
        <v>8.9640000000000004</v>
      </c>
      <c r="M94" s="11"/>
      <c r="N94" s="8">
        <v>89.9</v>
      </c>
      <c r="P94" s="7">
        <v>60</v>
      </c>
      <c r="Q94" s="12"/>
      <c r="R94" s="12"/>
      <c r="S94" s="12">
        <v>3888</v>
      </c>
      <c r="T94" s="12">
        <v>4418</v>
      </c>
      <c r="U94" s="12"/>
    </row>
    <row r="95" spans="1:21" s="7" customFormat="1" x14ac:dyDescent="0.35">
      <c r="A95" s="7" t="s">
        <v>33</v>
      </c>
      <c r="B95" s="7">
        <f>2+3/8</f>
        <v>2.375</v>
      </c>
      <c r="C95" s="16">
        <v>4.5999999999999996</v>
      </c>
      <c r="D95" s="16">
        <v>0.19</v>
      </c>
      <c r="E95" s="16">
        <v>4.83</v>
      </c>
      <c r="F95" s="17">
        <v>1.91</v>
      </c>
      <c r="G95" s="17" t="s">
        <v>42</v>
      </c>
      <c r="H95" s="16" t="s">
        <v>16</v>
      </c>
      <c r="I95" s="18">
        <v>1.9570000000000001</v>
      </c>
      <c r="J95" s="18">
        <v>2.677</v>
      </c>
      <c r="K95" s="18">
        <v>5.91</v>
      </c>
      <c r="L95" s="18">
        <v>2.444</v>
      </c>
      <c r="M95" s="16"/>
      <c r="N95" s="16">
        <v>100</v>
      </c>
      <c r="O95" s="16"/>
      <c r="P95" s="16">
        <v>100</v>
      </c>
      <c r="Q95" s="19">
        <v>104</v>
      </c>
      <c r="R95" s="19">
        <v>124</v>
      </c>
      <c r="S95" s="19">
        <v>143</v>
      </c>
      <c r="T95" s="19">
        <v>163</v>
      </c>
      <c r="U95" s="12"/>
    </row>
    <row r="96" spans="1:21" s="7" customFormat="1" x14ac:dyDescent="0.35">
      <c r="A96" s="7" t="s">
        <v>33</v>
      </c>
      <c r="B96" s="7">
        <f t="shared" ref="B96:B100" si="1">2+3/8</f>
        <v>2.375</v>
      </c>
      <c r="C96" s="16">
        <v>5.0999999999999996</v>
      </c>
      <c r="D96" s="16">
        <v>0.218</v>
      </c>
      <c r="E96" s="16">
        <v>5.54</v>
      </c>
      <c r="F96" s="17">
        <v>1.845</v>
      </c>
      <c r="G96" s="17"/>
      <c r="H96" s="16" t="s">
        <v>16</v>
      </c>
      <c r="I96" s="18">
        <v>1.913</v>
      </c>
      <c r="J96" s="18">
        <v>2.7189999999999999</v>
      </c>
      <c r="K96" s="18">
        <v>5.91</v>
      </c>
      <c r="L96" s="18">
        <v>2.444</v>
      </c>
      <c r="M96" s="16"/>
      <c r="N96" s="16">
        <v>100</v>
      </c>
      <c r="O96" s="16"/>
      <c r="P96" s="16">
        <v>100</v>
      </c>
      <c r="Q96" s="19">
        <v>118</v>
      </c>
      <c r="R96" s="19">
        <v>140</v>
      </c>
      <c r="S96" s="19">
        <v>162</v>
      </c>
      <c r="T96" s="19">
        <v>185</v>
      </c>
      <c r="U96" s="12"/>
    </row>
    <row r="97" spans="1:21" s="7" customFormat="1" x14ac:dyDescent="0.35">
      <c r="A97" s="7" t="s">
        <v>33</v>
      </c>
      <c r="B97" s="7">
        <f t="shared" si="1"/>
        <v>2.375</v>
      </c>
      <c r="C97" s="16">
        <v>5.8</v>
      </c>
      <c r="D97" s="16">
        <v>0.254</v>
      </c>
      <c r="E97" s="16">
        <v>6.45</v>
      </c>
      <c r="F97" s="17">
        <v>1.7729999999999999</v>
      </c>
      <c r="G97" s="17"/>
      <c r="H97" s="16" t="s">
        <v>16</v>
      </c>
      <c r="I97" s="18">
        <v>1.827</v>
      </c>
      <c r="J97" s="18">
        <v>2.7469999999999999</v>
      </c>
      <c r="K97" s="18">
        <v>6.77</v>
      </c>
      <c r="L97" s="18">
        <v>2.891</v>
      </c>
      <c r="M97" s="16"/>
      <c r="N97" s="16">
        <v>100</v>
      </c>
      <c r="O97" s="16"/>
      <c r="P97" s="16">
        <v>100</v>
      </c>
      <c r="Q97" s="19">
        <v>135</v>
      </c>
      <c r="R97" s="19">
        <v>161</v>
      </c>
      <c r="S97" s="19">
        <v>186</v>
      </c>
      <c r="T97" s="19">
        <v>212</v>
      </c>
      <c r="U97" s="12"/>
    </row>
    <row r="98" spans="1:21" s="7" customFormat="1" x14ac:dyDescent="0.35">
      <c r="A98" s="7" t="s">
        <v>33</v>
      </c>
      <c r="B98" s="7">
        <f t="shared" si="1"/>
        <v>2.375</v>
      </c>
      <c r="C98" s="16">
        <v>6.3</v>
      </c>
      <c r="D98" s="16">
        <v>0.28000000000000003</v>
      </c>
      <c r="E98" s="16">
        <v>7.11</v>
      </c>
      <c r="F98" s="17">
        <v>1.7210000000000001</v>
      </c>
      <c r="G98" s="17"/>
      <c r="H98" s="16" t="s">
        <v>16</v>
      </c>
      <c r="I98" s="18">
        <v>1.7829999999999999</v>
      </c>
      <c r="J98" s="18">
        <v>2.782</v>
      </c>
      <c r="K98" s="18">
        <v>6.77</v>
      </c>
      <c r="L98" s="18">
        <v>2.891</v>
      </c>
      <c r="M98" s="16"/>
      <c r="N98" s="16">
        <v>100</v>
      </c>
      <c r="O98" s="16"/>
      <c r="P98" s="16">
        <v>100</v>
      </c>
      <c r="Q98" s="19">
        <v>147</v>
      </c>
      <c r="R98" s="19">
        <v>175</v>
      </c>
      <c r="S98" s="19">
        <v>203</v>
      </c>
      <c r="T98" s="19">
        <v>230</v>
      </c>
      <c r="U98" s="12"/>
    </row>
    <row r="99" spans="1:21" s="7" customFormat="1" x14ac:dyDescent="0.35">
      <c r="A99" s="7" t="s">
        <v>33</v>
      </c>
      <c r="B99" s="7">
        <f t="shared" si="1"/>
        <v>2.375</v>
      </c>
      <c r="C99" s="16">
        <v>6.6</v>
      </c>
      <c r="D99" s="16">
        <v>0.29499999999999998</v>
      </c>
      <c r="E99" s="16">
        <v>7.49</v>
      </c>
      <c r="F99" s="17">
        <v>1.6910000000000001</v>
      </c>
      <c r="G99" s="17"/>
      <c r="H99" s="16" t="s">
        <v>16</v>
      </c>
      <c r="I99" s="18">
        <v>1.76</v>
      </c>
      <c r="J99" s="18">
        <v>2.802</v>
      </c>
      <c r="K99" s="18">
        <v>6.77</v>
      </c>
      <c r="L99" s="18">
        <v>2.891</v>
      </c>
      <c r="M99" s="16"/>
      <c r="N99" s="16">
        <v>100</v>
      </c>
      <c r="O99" s="16"/>
      <c r="P99" s="16">
        <v>100</v>
      </c>
      <c r="Q99" s="19">
        <v>154</v>
      </c>
      <c r="R99" s="19">
        <v>183</v>
      </c>
      <c r="S99" s="19">
        <v>212</v>
      </c>
      <c r="T99" s="19">
        <v>241</v>
      </c>
      <c r="U99" s="12"/>
    </row>
    <row r="100" spans="1:21" s="7" customFormat="1" x14ac:dyDescent="0.35">
      <c r="A100" s="7" t="s">
        <v>33</v>
      </c>
      <c r="B100" s="7">
        <f t="shared" si="1"/>
        <v>2.375</v>
      </c>
      <c r="C100" s="16">
        <v>7.35</v>
      </c>
      <c r="D100" s="16">
        <v>0.33600000000000002</v>
      </c>
      <c r="E100" s="16">
        <v>8.5299999999999994</v>
      </c>
      <c r="F100" s="17">
        <v>1.609</v>
      </c>
      <c r="G100" s="17"/>
      <c r="H100" s="16" t="s">
        <v>16</v>
      </c>
      <c r="I100" s="18">
        <v>1.6930000000000001</v>
      </c>
      <c r="J100" s="18">
        <v>2.8530000000000002</v>
      </c>
      <c r="K100" s="18">
        <v>6.77</v>
      </c>
      <c r="L100" s="18">
        <v>2.891</v>
      </c>
      <c r="M100" s="16"/>
      <c r="N100" s="16">
        <v>100</v>
      </c>
      <c r="O100" s="16"/>
      <c r="P100" s="16">
        <v>100</v>
      </c>
      <c r="Q100" s="19">
        <v>172</v>
      </c>
      <c r="R100" s="19">
        <v>204</v>
      </c>
      <c r="S100" s="19">
        <v>237</v>
      </c>
      <c r="T100" s="19">
        <v>269</v>
      </c>
      <c r="U100" s="12"/>
    </row>
    <row r="101" spans="1:21" s="7" customFormat="1" x14ac:dyDescent="0.35">
      <c r="A101" s="7" t="s">
        <v>33</v>
      </c>
      <c r="B101" s="20">
        <f>2+7/8</f>
        <v>2.875</v>
      </c>
      <c r="C101" s="16">
        <v>6.4</v>
      </c>
      <c r="D101" s="16">
        <v>0.217</v>
      </c>
      <c r="E101" s="16">
        <v>5.51</v>
      </c>
      <c r="F101" s="17">
        <v>2.347</v>
      </c>
      <c r="G101" s="17"/>
      <c r="H101" s="16" t="s">
        <v>16</v>
      </c>
      <c r="I101" s="18">
        <v>2.4089999999999998</v>
      </c>
      <c r="J101" s="18">
        <v>3.2229999999999999</v>
      </c>
      <c r="K101" s="18">
        <v>6.02</v>
      </c>
      <c r="L101" s="18">
        <v>2.5179999999999998</v>
      </c>
      <c r="M101" s="16"/>
      <c r="N101" s="16">
        <v>100</v>
      </c>
      <c r="O101" s="16"/>
      <c r="P101" s="16">
        <v>100</v>
      </c>
      <c r="Q101" s="19">
        <v>145</v>
      </c>
      <c r="R101" s="19">
        <v>172</v>
      </c>
      <c r="S101" s="19">
        <v>199</v>
      </c>
      <c r="T101" s="19">
        <v>227</v>
      </c>
      <c r="U101" s="12"/>
    </row>
    <row r="102" spans="1:21" s="7" customFormat="1" x14ac:dyDescent="0.35">
      <c r="A102" s="7" t="s">
        <v>33</v>
      </c>
      <c r="B102" s="20">
        <f t="shared" ref="B102:B108" si="2">2+7/8</f>
        <v>2.875</v>
      </c>
      <c r="C102" s="16">
        <v>7.8</v>
      </c>
      <c r="D102" s="16">
        <v>0.27600000000000002</v>
      </c>
      <c r="E102" s="16">
        <v>7.01</v>
      </c>
      <c r="F102" s="17">
        <v>2.2290000000000001</v>
      </c>
      <c r="G102" s="17"/>
      <c r="H102" s="16" t="s">
        <v>16</v>
      </c>
      <c r="I102" s="18">
        <v>2.2709999999999999</v>
      </c>
      <c r="J102" s="18">
        <v>3.2749999999999999</v>
      </c>
      <c r="K102" s="18">
        <v>7.36</v>
      </c>
      <c r="L102" s="18">
        <v>3.1789999999999998</v>
      </c>
      <c r="M102" s="16"/>
      <c r="N102" s="16">
        <v>100</v>
      </c>
      <c r="O102" s="16"/>
      <c r="P102" s="16">
        <v>100</v>
      </c>
      <c r="Q102" s="19">
        <v>180</v>
      </c>
      <c r="R102" s="19">
        <v>214</v>
      </c>
      <c r="S102" s="19">
        <v>248</v>
      </c>
      <c r="T102" s="19">
        <v>282</v>
      </c>
      <c r="U102" s="12"/>
    </row>
    <row r="103" spans="1:21" s="7" customFormat="1" x14ac:dyDescent="0.35">
      <c r="A103" s="7" t="s">
        <v>33</v>
      </c>
      <c r="B103" s="20">
        <f t="shared" si="2"/>
        <v>2.875</v>
      </c>
      <c r="C103" s="16">
        <v>8.6</v>
      </c>
      <c r="D103" s="16">
        <v>0.308</v>
      </c>
      <c r="E103" s="16">
        <v>7.82</v>
      </c>
      <c r="F103" s="17">
        <v>2.165</v>
      </c>
      <c r="G103" s="17"/>
      <c r="H103" s="16" t="s">
        <v>16</v>
      </c>
      <c r="I103" s="18">
        <v>2.2200000000000002</v>
      </c>
      <c r="J103" s="18">
        <v>3.3210000000000002</v>
      </c>
      <c r="K103" s="18">
        <v>7.36</v>
      </c>
      <c r="L103" s="18">
        <v>3.1789999999999998</v>
      </c>
      <c r="M103" s="16"/>
      <c r="N103" s="16">
        <v>100</v>
      </c>
      <c r="O103" s="16"/>
      <c r="P103" s="16">
        <v>100</v>
      </c>
      <c r="Q103" s="19">
        <v>199</v>
      </c>
      <c r="R103" s="19">
        <v>236</v>
      </c>
      <c r="S103" s="19">
        <v>273</v>
      </c>
      <c r="T103" s="19">
        <v>311</v>
      </c>
      <c r="U103" s="12"/>
    </row>
    <row r="104" spans="1:21" s="7" customFormat="1" x14ac:dyDescent="0.35">
      <c r="A104" s="7" t="s">
        <v>33</v>
      </c>
      <c r="B104" s="20">
        <f t="shared" si="2"/>
        <v>2.875</v>
      </c>
      <c r="C104" s="16">
        <v>9.35</v>
      </c>
      <c r="D104" s="16">
        <v>0.34</v>
      </c>
      <c r="E104" s="16">
        <v>8.64</v>
      </c>
      <c r="F104" s="17">
        <v>2.101</v>
      </c>
      <c r="G104" s="17"/>
      <c r="H104" s="16" t="s">
        <v>16</v>
      </c>
      <c r="I104" s="18">
        <v>2.169</v>
      </c>
      <c r="J104" s="18">
        <v>3.3639999999999999</v>
      </c>
      <c r="K104" s="18">
        <v>7.36</v>
      </c>
      <c r="L104" s="18">
        <v>3.1789999999999998</v>
      </c>
      <c r="M104" s="16"/>
      <c r="N104" s="16">
        <v>100</v>
      </c>
      <c r="O104" s="16"/>
      <c r="P104" s="16">
        <v>100</v>
      </c>
      <c r="Q104" s="19">
        <v>217</v>
      </c>
      <c r="R104" s="19">
        <v>257</v>
      </c>
      <c r="S104" s="19">
        <v>298</v>
      </c>
      <c r="T104" s="19">
        <v>339</v>
      </c>
      <c r="U104" s="12"/>
    </row>
    <row r="105" spans="1:21" s="7" customFormat="1" x14ac:dyDescent="0.35">
      <c r="A105" s="7" t="s">
        <v>33</v>
      </c>
      <c r="B105" s="20">
        <f t="shared" si="2"/>
        <v>2.875</v>
      </c>
      <c r="C105" s="16">
        <v>9.8000000000000007</v>
      </c>
      <c r="D105" s="16">
        <v>0.36199999999999999</v>
      </c>
      <c r="E105" s="16">
        <v>9.19</v>
      </c>
      <c r="F105" s="17">
        <v>2.0569999999999999</v>
      </c>
      <c r="G105" s="17"/>
      <c r="H105" s="16" t="s">
        <v>16</v>
      </c>
      <c r="I105" s="18">
        <v>2.133</v>
      </c>
      <c r="J105" s="18">
        <v>3.3929999999999998</v>
      </c>
      <c r="K105" s="18">
        <v>7.36</v>
      </c>
      <c r="L105" s="18">
        <v>3.1789999999999998</v>
      </c>
      <c r="M105" s="16"/>
      <c r="N105" s="16">
        <v>100</v>
      </c>
      <c r="O105" s="16"/>
      <c r="P105" s="16">
        <v>100</v>
      </c>
      <c r="Q105" s="19">
        <v>229</v>
      </c>
      <c r="R105" s="19">
        <v>272</v>
      </c>
      <c r="S105" s="19">
        <v>314</v>
      </c>
      <c r="T105" s="19">
        <v>357</v>
      </c>
      <c r="U105" s="12"/>
    </row>
    <row r="106" spans="1:21" s="7" customFormat="1" x14ac:dyDescent="0.35">
      <c r="A106" s="7" t="s">
        <v>33</v>
      </c>
      <c r="B106" s="20">
        <f t="shared" si="2"/>
        <v>2.875</v>
      </c>
      <c r="C106" s="16">
        <v>10.5</v>
      </c>
      <c r="D106" s="16">
        <v>0.39200000000000002</v>
      </c>
      <c r="E106" s="16">
        <v>9.9600000000000009</v>
      </c>
      <c r="F106" s="17">
        <v>1.9970000000000001</v>
      </c>
      <c r="G106" s="17"/>
      <c r="H106" s="16" t="s">
        <v>16</v>
      </c>
      <c r="I106" s="18">
        <v>2.0859999999999999</v>
      </c>
      <c r="J106" s="18">
        <v>3.431</v>
      </c>
      <c r="K106" s="18">
        <v>7.36</v>
      </c>
      <c r="L106" s="18">
        <v>3.1789999999999998</v>
      </c>
      <c r="M106" s="16"/>
      <c r="N106" s="16">
        <v>100</v>
      </c>
      <c r="O106" s="16"/>
      <c r="P106" s="16">
        <v>100</v>
      </c>
      <c r="Q106" s="19">
        <v>245</v>
      </c>
      <c r="R106" s="19">
        <v>291</v>
      </c>
      <c r="S106" s="19">
        <v>336</v>
      </c>
      <c r="T106" s="19">
        <v>382</v>
      </c>
      <c r="U106" s="12"/>
    </row>
    <row r="107" spans="1:21" s="7" customFormat="1" x14ac:dyDescent="0.35">
      <c r="A107" s="7" t="s">
        <v>33</v>
      </c>
      <c r="B107" s="20">
        <f>2+7/8</f>
        <v>2.875</v>
      </c>
      <c r="C107" s="16">
        <v>10.7</v>
      </c>
      <c r="D107" s="16">
        <v>0.40500000000000003</v>
      </c>
      <c r="E107" s="16">
        <v>10.29</v>
      </c>
      <c r="F107" s="17">
        <v>1.9710000000000001</v>
      </c>
      <c r="G107" s="17"/>
      <c r="H107" s="16" t="s">
        <v>16</v>
      </c>
      <c r="I107" s="18">
        <v>2.0659999999999998</v>
      </c>
      <c r="J107" s="18">
        <v>3.4470000000000001</v>
      </c>
      <c r="K107" s="18">
        <v>7.36</v>
      </c>
      <c r="L107" s="18">
        <v>3.1789999999999998</v>
      </c>
      <c r="M107" s="16"/>
      <c r="N107" s="16">
        <v>100</v>
      </c>
      <c r="O107" s="16"/>
      <c r="P107" s="16">
        <v>100</v>
      </c>
      <c r="Q107" s="19">
        <v>251</v>
      </c>
      <c r="R107" s="19">
        <v>299</v>
      </c>
      <c r="S107" s="19">
        <v>346</v>
      </c>
      <c r="T107" s="19">
        <v>393</v>
      </c>
      <c r="U107" s="12"/>
    </row>
    <row r="108" spans="1:21" s="7" customFormat="1" x14ac:dyDescent="0.35">
      <c r="A108" s="7" t="s">
        <v>33</v>
      </c>
      <c r="B108" s="20">
        <f t="shared" si="2"/>
        <v>2.875</v>
      </c>
      <c r="C108" s="16">
        <v>11.5</v>
      </c>
      <c r="D108" s="16">
        <v>0.44</v>
      </c>
      <c r="E108" s="16">
        <v>11.18</v>
      </c>
      <c r="F108" s="17">
        <v>1.901</v>
      </c>
      <c r="G108" s="17"/>
      <c r="H108" s="16" t="s">
        <v>16</v>
      </c>
      <c r="I108" s="18">
        <v>1.9870000000000001</v>
      </c>
      <c r="J108" s="18">
        <v>3.47</v>
      </c>
      <c r="K108" s="18">
        <v>8.11</v>
      </c>
      <c r="L108" s="18">
        <v>3.5569999999999999</v>
      </c>
      <c r="M108" s="16"/>
      <c r="N108" s="16">
        <v>100</v>
      </c>
      <c r="O108" s="16"/>
      <c r="P108" s="16">
        <v>100</v>
      </c>
      <c r="Q108" s="19">
        <v>269</v>
      </c>
      <c r="R108" s="19">
        <v>320</v>
      </c>
      <c r="S108" s="19">
        <v>370</v>
      </c>
      <c r="T108" s="19">
        <v>421</v>
      </c>
      <c r="U108" s="12"/>
    </row>
    <row r="109" spans="1:21" s="7" customFormat="1" x14ac:dyDescent="0.35">
      <c r="A109" s="7" t="s">
        <v>33</v>
      </c>
      <c r="B109" s="20">
        <v>3.5</v>
      </c>
      <c r="C109" s="16">
        <v>6.5</v>
      </c>
      <c r="D109" s="16">
        <v>0.17</v>
      </c>
      <c r="E109" s="16">
        <v>4.32</v>
      </c>
      <c r="F109" s="17">
        <v>3.0350000000000001</v>
      </c>
      <c r="G109" s="17"/>
      <c r="H109" s="16" t="s">
        <v>16</v>
      </c>
      <c r="I109" s="18">
        <v>3.1040000000000001</v>
      </c>
      <c r="J109" s="18">
        <v>3.7709999999999999</v>
      </c>
      <c r="K109" s="18">
        <v>7.05</v>
      </c>
      <c r="L109" s="18">
        <v>3.032</v>
      </c>
      <c r="M109" s="16"/>
      <c r="N109" s="16">
        <v>100</v>
      </c>
      <c r="O109" s="16"/>
      <c r="P109" s="16">
        <v>100</v>
      </c>
      <c r="Q109" s="19">
        <v>142</v>
      </c>
      <c r="R109" s="19">
        <v>169</v>
      </c>
      <c r="S109" s="19">
        <v>196</v>
      </c>
      <c r="T109" s="19">
        <v>222</v>
      </c>
      <c r="U109" s="12"/>
    </row>
    <row r="110" spans="1:21" s="7" customFormat="1" x14ac:dyDescent="0.35">
      <c r="A110" s="7" t="s">
        <v>33</v>
      </c>
      <c r="B110" s="20">
        <v>3.5</v>
      </c>
      <c r="C110" s="16">
        <v>7.7</v>
      </c>
      <c r="D110" s="16">
        <v>0.216</v>
      </c>
      <c r="E110" s="16">
        <v>5.49</v>
      </c>
      <c r="F110" s="17">
        <v>2.9430000000000001</v>
      </c>
      <c r="G110" s="17"/>
      <c r="H110" s="16" t="s">
        <v>16</v>
      </c>
      <c r="I110" s="18">
        <v>3.0219999999999998</v>
      </c>
      <c r="J110" s="18">
        <v>3.847</v>
      </c>
      <c r="K110" s="18">
        <v>7.05</v>
      </c>
      <c r="L110" s="18">
        <v>3.032</v>
      </c>
      <c r="M110" s="16"/>
      <c r="N110" s="16">
        <v>100</v>
      </c>
      <c r="O110" s="16"/>
      <c r="P110" s="16">
        <v>100</v>
      </c>
      <c r="Q110" s="19">
        <v>178</v>
      </c>
      <c r="R110" s="19">
        <v>212</v>
      </c>
      <c r="S110" s="19">
        <v>245</v>
      </c>
      <c r="T110" s="19">
        <v>279</v>
      </c>
      <c r="U110" s="12"/>
    </row>
    <row r="111" spans="1:21" s="7" customFormat="1" x14ac:dyDescent="0.35">
      <c r="A111" s="7" t="s">
        <v>33</v>
      </c>
      <c r="B111" s="20">
        <v>3.5</v>
      </c>
      <c r="C111" s="16">
        <v>9.1999999999999993</v>
      </c>
      <c r="D111" s="16">
        <v>0.254</v>
      </c>
      <c r="E111" s="16">
        <v>6.45</v>
      </c>
      <c r="F111" s="17">
        <v>2.9</v>
      </c>
      <c r="G111" s="17" t="s">
        <v>42</v>
      </c>
      <c r="H111" s="16" t="s">
        <v>16</v>
      </c>
      <c r="I111" s="18">
        <v>2.9590000000000001</v>
      </c>
      <c r="J111" s="18">
        <v>3.9079999999999999</v>
      </c>
      <c r="K111" s="18">
        <v>7.05</v>
      </c>
      <c r="L111" s="18">
        <v>3.032</v>
      </c>
      <c r="M111" s="16"/>
      <c r="N111" s="16">
        <v>100</v>
      </c>
      <c r="O111" s="16"/>
      <c r="P111" s="16">
        <v>100</v>
      </c>
      <c r="Q111" s="19">
        <v>207</v>
      </c>
      <c r="R111" s="19">
        <v>246</v>
      </c>
      <c r="S111" s="19">
        <v>285</v>
      </c>
      <c r="T111" s="19">
        <v>324</v>
      </c>
      <c r="U111" s="12"/>
    </row>
    <row r="112" spans="1:21" s="7" customFormat="1" x14ac:dyDescent="0.35">
      <c r="A112" s="7" t="s">
        <v>33</v>
      </c>
      <c r="B112" s="20">
        <v>3.5</v>
      </c>
      <c r="C112" s="16">
        <v>10.199999999999999</v>
      </c>
      <c r="D112" s="16">
        <v>0.28899999999999998</v>
      </c>
      <c r="E112" s="16">
        <v>7.34</v>
      </c>
      <c r="F112" s="17">
        <v>2.7970000000000002</v>
      </c>
      <c r="G112" s="17"/>
      <c r="H112" s="16" t="s">
        <v>16</v>
      </c>
      <c r="I112" s="18">
        <v>2.8940000000000001</v>
      </c>
      <c r="J112" s="18">
        <v>3.9620000000000002</v>
      </c>
      <c r="K112" s="18">
        <v>7.05</v>
      </c>
      <c r="L112" s="18">
        <v>3.032</v>
      </c>
      <c r="M112" s="16"/>
      <c r="N112" s="16">
        <v>100</v>
      </c>
      <c r="O112" s="16"/>
      <c r="P112" s="16">
        <v>100</v>
      </c>
      <c r="Q112" s="19">
        <v>233</v>
      </c>
      <c r="R112" s="19">
        <v>277</v>
      </c>
      <c r="S112" s="19">
        <v>321</v>
      </c>
      <c r="T112" s="19">
        <v>364</v>
      </c>
      <c r="U112" s="12"/>
    </row>
    <row r="113" spans="1:21" s="7" customFormat="1" x14ac:dyDescent="0.35">
      <c r="A113" s="7" t="s">
        <v>33</v>
      </c>
      <c r="B113" s="20">
        <v>3.5</v>
      </c>
      <c r="C113" s="16">
        <v>12.7</v>
      </c>
      <c r="D113" s="16">
        <v>0.375</v>
      </c>
      <c r="E113" s="16">
        <v>9.52</v>
      </c>
      <c r="F113" s="17">
        <v>2.625</v>
      </c>
      <c r="G113" s="17"/>
      <c r="H113" s="16" t="s">
        <v>16</v>
      </c>
      <c r="I113" s="18">
        <v>2.7069999999999999</v>
      </c>
      <c r="J113" s="18">
        <v>4.0439999999999996</v>
      </c>
      <c r="K113" s="18">
        <v>8.6199999999999992</v>
      </c>
      <c r="L113" s="18">
        <v>3.819</v>
      </c>
      <c r="M113" s="16"/>
      <c r="N113" s="16">
        <v>100</v>
      </c>
      <c r="O113" s="16"/>
      <c r="P113" s="16">
        <v>100</v>
      </c>
      <c r="Q113" s="19">
        <v>295</v>
      </c>
      <c r="R113" s="19">
        <v>350</v>
      </c>
      <c r="S113" s="19">
        <v>405</v>
      </c>
      <c r="T113" s="19">
        <v>460</v>
      </c>
      <c r="U113" s="12"/>
    </row>
    <row r="114" spans="1:21" s="7" customFormat="1" x14ac:dyDescent="0.35">
      <c r="A114" s="7" t="s">
        <v>33</v>
      </c>
      <c r="B114" s="20">
        <v>3.5</v>
      </c>
      <c r="C114" s="16">
        <v>13.7</v>
      </c>
      <c r="D114" s="16">
        <v>0.41299999999999998</v>
      </c>
      <c r="E114" s="16">
        <v>10.49</v>
      </c>
      <c r="F114" s="17">
        <v>2.5489999999999999</v>
      </c>
      <c r="G114" s="17"/>
      <c r="H114" s="16" t="s">
        <v>16</v>
      </c>
      <c r="I114" s="18">
        <v>2.6480000000000001</v>
      </c>
      <c r="J114" s="18">
        <v>4.0949999999999998</v>
      </c>
      <c r="K114" s="18">
        <v>8.6199999999999992</v>
      </c>
      <c r="L114" s="18">
        <v>3.819</v>
      </c>
      <c r="M114" s="16"/>
      <c r="N114" s="16">
        <v>100</v>
      </c>
      <c r="O114" s="16"/>
      <c r="P114" s="16">
        <v>100</v>
      </c>
      <c r="Q114" s="19">
        <v>320</v>
      </c>
      <c r="R114" s="19">
        <v>380</v>
      </c>
      <c r="S114" s="19">
        <v>441</v>
      </c>
      <c r="T114" s="19">
        <v>501</v>
      </c>
      <c r="U114" s="12"/>
    </row>
    <row r="115" spans="1:21" s="7" customFormat="1" x14ac:dyDescent="0.35">
      <c r="A115" s="7" t="s">
        <v>33</v>
      </c>
      <c r="B115" s="20">
        <v>3.5</v>
      </c>
      <c r="C115" s="16">
        <v>14.3</v>
      </c>
      <c r="D115" s="16">
        <v>0.43</v>
      </c>
      <c r="E115" s="16">
        <v>10.92</v>
      </c>
      <c r="F115" s="17">
        <v>2.5150000000000001</v>
      </c>
      <c r="G115" s="17"/>
      <c r="H115" s="16" t="s">
        <v>16</v>
      </c>
      <c r="I115" s="18">
        <v>2.62</v>
      </c>
      <c r="J115" s="18">
        <v>4.1180000000000003</v>
      </c>
      <c r="K115" s="18">
        <v>8.6199999999999992</v>
      </c>
      <c r="L115" s="18">
        <v>3.819</v>
      </c>
      <c r="M115" s="16"/>
      <c r="N115" s="16">
        <v>100</v>
      </c>
      <c r="O115" s="16"/>
      <c r="P115" s="16">
        <v>100</v>
      </c>
      <c r="Q115" s="19">
        <v>332</v>
      </c>
      <c r="R115" s="19">
        <v>394</v>
      </c>
      <c r="S115" s="19">
        <v>456</v>
      </c>
      <c r="T115" s="19">
        <v>518</v>
      </c>
      <c r="U115" s="12"/>
    </row>
    <row r="116" spans="1:21" s="7" customFormat="1" x14ac:dyDescent="0.35">
      <c r="A116" s="7" t="s">
        <v>33</v>
      </c>
      <c r="B116" s="20">
        <v>3.5</v>
      </c>
      <c r="C116" s="16">
        <v>14.7</v>
      </c>
      <c r="D116" s="16">
        <v>0.44900000000000001</v>
      </c>
      <c r="E116" s="16">
        <v>11.4</v>
      </c>
      <c r="F116" s="17">
        <v>2.4769999999999999</v>
      </c>
      <c r="G116" s="17"/>
      <c r="H116" s="16" t="s">
        <v>16</v>
      </c>
      <c r="I116" s="18">
        <v>2.589</v>
      </c>
      <c r="J116" s="18">
        <v>4.1429999999999998</v>
      </c>
      <c r="K116" s="18">
        <v>8.6199999999999992</v>
      </c>
      <c r="L116" s="18">
        <v>3.819</v>
      </c>
      <c r="M116" s="16"/>
      <c r="N116" s="16">
        <v>100</v>
      </c>
      <c r="O116" s="16"/>
      <c r="P116" s="16">
        <v>100</v>
      </c>
      <c r="Q116" s="19">
        <v>344</v>
      </c>
      <c r="R116" s="19">
        <v>409</v>
      </c>
      <c r="S116" s="19">
        <v>473</v>
      </c>
      <c r="T116" s="19">
        <v>538</v>
      </c>
      <c r="U116" s="12"/>
    </row>
    <row r="117" spans="1:21" s="7" customFormat="1" x14ac:dyDescent="0.35">
      <c r="A117" s="7" t="s">
        <v>33</v>
      </c>
      <c r="B117" s="20">
        <v>3.5</v>
      </c>
      <c r="C117" s="16">
        <v>15.5</v>
      </c>
      <c r="D117" s="16">
        <v>0.47599999999999998</v>
      </c>
      <c r="E117" s="16">
        <v>12.09</v>
      </c>
      <c r="F117" s="17">
        <v>2.423</v>
      </c>
      <c r="G117" s="17"/>
      <c r="H117" s="16" t="s">
        <v>16</v>
      </c>
      <c r="I117" s="18">
        <v>2.5179999999999998</v>
      </c>
      <c r="J117" s="18">
        <v>4.1539999999999999</v>
      </c>
      <c r="K117" s="18">
        <v>9.5299999999999994</v>
      </c>
      <c r="L117" s="18">
        <v>4.26</v>
      </c>
      <c r="M117" s="16"/>
      <c r="N117" s="16">
        <v>100</v>
      </c>
      <c r="O117" s="16"/>
      <c r="P117" s="16">
        <v>100</v>
      </c>
      <c r="Q117" s="19">
        <v>362</v>
      </c>
      <c r="R117" s="19">
        <v>430</v>
      </c>
      <c r="S117" s="19">
        <v>497</v>
      </c>
      <c r="T117" s="19">
        <v>565</v>
      </c>
      <c r="U117" s="12"/>
    </row>
    <row r="118" spans="1:21" s="7" customFormat="1" x14ac:dyDescent="0.35">
      <c r="A118" s="7" t="s">
        <v>33</v>
      </c>
      <c r="B118" s="20">
        <v>3.5</v>
      </c>
      <c r="C118" s="16">
        <v>16.7</v>
      </c>
      <c r="D118" s="16">
        <v>0.51</v>
      </c>
      <c r="E118" s="16">
        <v>12.95</v>
      </c>
      <c r="F118" s="17">
        <v>2.355</v>
      </c>
      <c r="G118" s="17"/>
      <c r="H118" s="16" t="s">
        <v>16</v>
      </c>
      <c r="I118" s="18">
        <v>2.4670000000000001</v>
      </c>
      <c r="J118" s="18">
        <v>4.1959999999999997</v>
      </c>
      <c r="K118" s="18">
        <v>9.5299999999999994</v>
      </c>
      <c r="L118" s="18">
        <v>4.26</v>
      </c>
      <c r="M118" s="16"/>
      <c r="N118" s="16">
        <v>100</v>
      </c>
      <c r="O118" s="16"/>
      <c r="P118" s="16">
        <v>100</v>
      </c>
      <c r="Q118" s="19">
        <v>383</v>
      </c>
      <c r="R118" s="19">
        <v>455</v>
      </c>
      <c r="S118" s="19">
        <v>527</v>
      </c>
      <c r="T118" s="19">
        <v>599</v>
      </c>
      <c r="U118" s="12"/>
    </row>
    <row r="119" spans="1:21" s="7" customFormat="1" x14ac:dyDescent="0.35">
      <c r="A119" s="7" t="s">
        <v>33</v>
      </c>
      <c r="B119" s="20">
        <v>3.5</v>
      </c>
      <c r="C119" s="16">
        <v>18.350000000000001</v>
      </c>
      <c r="D119" s="16">
        <v>0.57499999999999996</v>
      </c>
      <c r="E119" s="16">
        <v>14.6</v>
      </c>
      <c r="F119" s="17">
        <v>2.2250000000000001</v>
      </c>
      <c r="G119" s="17"/>
      <c r="H119" s="16" t="s">
        <v>16</v>
      </c>
      <c r="I119" s="18">
        <v>2.3679999999999999</v>
      </c>
      <c r="J119" s="18">
        <v>4.2720000000000002</v>
      </c>
      <c r="K119" s="18">
        <v>9.5299999999999994</v>
      </c>
      <c r="L119" s="18">
        <v>4.26</v>
      </c>
      <c r="M119" s="16"/>
      <c r="N119" s="16">
        <v>100</v>
      </c>
      <c r="O119" s="16"/>
      <c r="P119" s="16">
        <v>100</v>
      </c>
      <c r="Q119" s="19">
        <v>423</v>
      </c>
      <c r="R119" s="19">
        <v>502</v>
      </c>
      <c r="S119" s="19">
        <v>581</v>
      </c>
      <c r="T119" s="19">
        <v>661</v>
      </c>
      <c r="U119" s="12"/>
    </row>
    <row r="120" spans="1:21" s="7" customFormat="1" x14ac:dyDescent="0.35">
      <c r="A120" s="7" t="s">
        <v>33</v>
      </c>
      <c r="B120" s="20">
        <v>4</v>
      </c>
      <c r="C120" s="16">
        <v>8.1999999999999993</v>
      </c>
      <c r="D120" s="16">
        <v>0.19</v>
      </c>
      <c r="E120" s="16">
        <v>4.83</v>
      </c>
      <c r="F120" s="17">
        <v>3.4950000000000001</v>
      </c>
      <c r="G120" s="17"/>
      <c r="H120" s="16" t="s">
        <v>16</v>
      </c>
      <c r="I120" s="18">
        <v>3.5670000000000002</v>
      </c>
      <c r="J120" s="18">
        <v>4.3</v>
      </c>
      <c r="K120" s="18">
        <v>7.32</v>
      </c>
      <c r="L120" s="18">
        <v>3.1589999999999998</v>
      </c>
      <c r="M120" s="16"/>
      <c r="N120" s="16">
        <v>100</v>
      </c>
      <c r="O120" s="16"/>
      <c r="P120" s="16">
        <v>100</v>
      </c>
      <c r="Q120" s="19">
        <v>182</v>
      </c>
      <c r="R120" s="19">
        <v>216</v>
      </c>
      <c r="S120" s="19">
        <v>250</v>
      </c>
      <c r="T120" s="19">
        <v>284</v>
      </c>
      <c r="U120" s="12"/>
    </row>
    <row r="121" spans="1:21" s="7" customFormat="1" x14ac:dyDescent="0.35">
      <c r="A121" s="7" t="s">
        <v>33</v>
      </c>
      <c r="B121" s="20">
        <v>4</v>
      </c>
      <c r="C121" s="16">
        <v>9.5</v>
      </c>
      <c r="D121" s="16">
        <v>0.22600000000000001</v>
      </c>
      <c r="E121" s="16">
        <v>5.74</v>
      </c>
      <c r="F121" s="17">
        <v>3.423</v>
      </c>
      <c r="G121" s="17"/>
      <c r="H121" s="16" t="s">
        <v>16</v>
      </c>
      <c r="I121" s="18">
        <v>3.5</v>
      </c>
      <c r="J121" s="18">
        <v>4.3620000000000001</v>
      </c>
      <c r="K121" s="18">
        <v>7.32</v>
      </c>
      <c r="L121" s="18">
        <v>3.1589999999999998</v>
      </c>
      <c r="M121" s="16"/>
      <c r="N121" s="16">
        <v>100</v>
      </c>
      <c r="O121" s="16"/>
      <c r="P121" s="16">
        <v>100</v>
      </c>
      <c r="Q121" s="19">
        <v>214</v>
      </c>
      <c r="R121" s="19">
        <v>255</v>
      </c>
      <c r="S121" s="19">
        <v>295</v>
      </c>
      <c r="T121" s="19">
        <v>335</v>
      </c>
      <c r="U121" s="12"/>
    </row>
    <row r="122" spans="1:21" s="7" customFormat="1" x14ac:dyDescent="0.35">
      <c r="A122" s="7" t="s">
        <v>33</v>
      </c>
      <c r="B122" s="20">
        <v>4</v>
      </c>
      <c r="C122" s="16">
        <v>10.9</v>
      </c>
      <c r="D122" s="16">
        <v>0.26200000000000001</v>
      </c>
      <c r="E122" s="16">
        <v>6.65</v>
      </c>
      <c r="F122" s="17">
        <v>3.351</v>
      </c>
      <c r="G122" s="17"/>
      <c r="H122" s="16" t="s">
        <v>16</v>
      </c>
      <c r="I122" s="18">
        <v>3.4369999999999998</v>
      </c>
      <c r="J122" s="18">
        <v>4.42</v>
      </c>
      <c r="K122" s="18">
        <v>7.32</v>
      </c>
      <c r="L122" s="18">
        <v>3.1589999999999998</v>
      </c>
      <c r="M122" s="16"/>
      <c r="N122" s="16">
        <v>100</v>
      </c>
      <c r="O122" s="16"/>
      <c r="P122" s="16">
        <v>100</v>
      </c>
      <c r="Q122" s="19">
        <v>246</v>
      </c>
      <c r="R122" s="19">
        <v>292</v>
      </c>
      <c r="S122" s="19">
        <v>338</v>
      </c>
      <c r="T122" s="19">
        <v>385</v>
      </c>
      <c r="U122" s="12"/>
    </row>
    <row r="123" spans="1:21" s="7" customFormat="1" x14ac:dyDescent="0.35">
      <c r="A123" s="7" t="s">
        <v>33</v>
      </c>
      <c r="B123" s="20">
        <v>4</v>
      </c>
      <c r="C123" s="16">
        <v>11.6</v>
      </c>
      <c r="D123" s="16">
        <v>0.28599999999999998</v>
      </c>
      <c r="E123" s="16">
        <v>7.26</v>
      </c>
      <c r="F123" s="17">
        <v>3.3029999999999999</v>
      </c>
      <c r="G123" s="17"/>
      <c r="H123" s="16" t="s">
        <v>16</v>
      </c>
      <c r="I123" s="18">
        <v>3.3980000000000001</v>
      </c>
      <c r="J123" s="18">
        <v>4.4580000000000002</v>
      </c>
      <c r="K123" s="18">
        <v>7.32</v>
      </c>
      <c r="L123" s="18">
        <v>3.1589999999999998</v>
      </c>
      <c r="M123" s="16"/>
      <c r="N123" s="16">
        <v>100</v>
      </c>
      <c r="O123" s="16"/>
      <c r="P123" s="16">
        <v>100</v>
      </c>
      <c r="Q123" s="19">
        <v>267</v>
      </c>
      <c r="R123" s="19">
        <v>317</v>
      </c>
      <c r="S123" s="19">
        <v>367</v>
      </c>
      <c r="T123" s="19">
        <v>417</v>
      </c>
      <c r="U123" s="12"/>
    </row>
    <row r="124" spans="1:21" s="7" customFormat="1" x14ac:dyDescent="0.35">
      <c r="A124" s="7" t="s">
        <v>33</v>
      </c>
      <c r="B124" s="20">
        <v>4</v>
      </c>
      <c r="C124" s="16">
        <v>13.2</v>
      </c>
      <c r="D124" s="16">
        <v>0.33</v>
      </c>
      <c r="E124" s="16">
        <v>8.3800000000000008</v>
      </c>
      <c r="F124" s="17">
        <v>3.2149999999999999</v>
      </c>
      <c r="G124" s="17"/>
      <c r="H124" s="16" t="s">
        <v>16</v>
      </c>
      <c r="I124" s="18">
        <v>3.327</v>
      </c>
      <c r="J124" s="18">
        <v>4.5259999999999998</v>
      </c>
      <c r="K124" s="18">
        <v>7.32</v>
      </c>
      <c r="L124" s="18">
        <v>3.1589999999999998</v>
      </c>
      <c r="M124" s="16"/>
      <c r="N124" s="16">
        <v>100</v>
      </c>
      <c r="O124" s="16"/>
      <c r="P124" s="16">
        <v>100</v>
      </c>
      <c r="Q124" s="19">
        <v>304</v>
      </c>
      <c r="R124" s="19">
        <v>361</v>
      </c>
      <c r="S124" s="19">
        <v>419</v>
      </c>
      <c r="T124" s="19">
        <v>476</v>
      </c>
      <c r="U124" s="12"/>
    </row>
    <row r="125" spans="1:21" s="7" customFormat="1" x14ac:dyDescent="0.35">
      <c r="A125" s="7" t="s">
        <v>33</v>
      </c>
      <c r="B125" s="20">
        <v>4</v>
      </c>
      <c r="C125" s="16">
        <v>14.8</v>
      </c>
      <c r="D125" s="16">
        <v>0.38</v>
      </c>
      <c r="E125" s="16">
        <v>9.65</v>
      </c>
      <c r="F125" s="17">
        <v>3.1150000000000002</v>
      </c>
      <c r="G125" s="17"/>
      <c r="H125" s="16" t="s">
        <v>16</v>
      </c>
      <c r="I125" s="18">
        <v>3.1890000000000001</v>
      </c>
      <c r="J125" s="18">
        <v>4.5519999999999996</v>
      </c>
      <c r="K125" s="18">
        <v>9.09</v>
      </c>
      <c r="L125" s="18">
        <v>4.0410000000000004</v>
      </c>
      <c r="M125" s="16"/>
      <c r="N125" s="16">
        <v>100</v>
      </c>
      <c r="O125" s="16"/>
      <c r="P125" s="16">
        <v>100</v>
      </c>
      <c r="Q125" s="19">
        <v>346</v>
      </c>
      <c r="R125" s="19">
        <v>411</v>
      </c>
      <c r="S125" s="19">
        <v>475</v>
      </c>
      <c r="T125" s="19">
        <v>540</v>
      </c>
      <c r="U125" s="12"/>
    </row>
    <row r="126" spans="1:21" s="7" customFormat="1" x14ac:dyDescent="0.35">
      <c r="A126" s="7" t="s">
        <v>33</v>
      </c>
      <c r="B126" s="20">
        <v>4</v>
      </c>
      <c r="C126" s="16">
        <v>16.100000000000001</v>
      </c>
      <c r="D126" s="16">
        <v>0.41499999999999998</v>
      </c>
      <c r="E126" s="16">
        <v>10.54</v>
      </c>
      <c r="F126" s="17">
        <v>3.0449999999999999</v>
      </c>
      <c r="G126" s="17"/>
      <c r="H126" s="16" t="s">
        <v>16</v>
      </c>
      <c r="I126" s="18">
        <v>3.13</v>
      </c>
      <c r="J126" s="18">
        <v>4.6020000000000003</v>
      </c>
      <c r="K126" s="18">
        <v>9.09</v>
      </c>
      <c r="L126" s="18">
        <v>4.0410000000000004</v>
      </c>
      <c r="M126" s="16"/>
      <c r="N126" s="16">
        <v>100</v>
      </c>
      <c r="O126" s="16"/>
      <c r="P126" s="16">
        <v>100</v>
      </c>
      <c r="Q126" s="19">
        <v>374</v>
      </c>
      <c r="R126" s="19">
        <v>444</v>
      </c>
      <c r="S126" s="19">
        <v>514</v>
      </c>
      <c r="T126" s="19">
        <v>584</v>
      </c>
      <c r="U126" s="12"/>
    </row>
    <row r="127" spans="1:21" s="7" customFormat="1" x14ac:dyDescent="0.35">
      <c r="A127" s="7" t="s">
        <v>33</v>
      </c>
      <c r="B127" s="20">
        <v>4</v>
      </c>
      <c r="C127" s="16">
        <v>16.5</v>
      </c>
      <c r="D127" s="16">
        <v>0.43</v>
      </c>
      <c r="E127" s="16">
        <v>10.92</v>
      </c>
      <c r="F127" s="17">
        <v>3.0150000000000001</v>
      </c>
      <c r="G127" s="17"/>
      <c r="H127" s="16" t="s">
        <v>16</v>
      </c>
      <c r="I127" s="18">
        <v>3.1059999999999999</v>
      </c>
      <c r="J127" s="18">
        <v>4.6230000000000002</v>
      </c>
      <c r="K127" s="18">
        <v>9.09</v>
      </c>
      <c r="L127" s="18">
        <v>4.0410000000000004</v>
      </c>
      <c r="M127" s="16"/>
      <c r="N127" s="16">
        <v>100</v>
      </c>
      <c r="O127" s="16"/>
      <c r="P127" s="16">
        <v>100</v>
      </c>
      <c r="Q127" s="19">
        <v>386</v>
      </c>
      <c r="R127" s="19">
        <v>458</v>
      </c>
      <c r="S127" s="19">
        <v>531</v>
      </c>
      <c r="T127" s="19">
        <v>603</v>
      </c>
      <c r="U127" s="12"/>
    </row>
    <row r="128" spans="1:21" s="7" customFormat="1" x14ac:dyDescent="0.35">
      <c r="A128" s="7" t="s">
        <v>33</v>
      </c>
      <c r="B128" s="20">
        <v>4</v>
      </c>
      <c r="C128" s="16">
        <v>18.899999999999999</v>
      </c>
      <c r="D128" s="16">
        <v>0.5</v>
      </c>
      <c r="E128" s="16">
        <v>12.7</v>
      </c>
      <c r="F128" s="17">
        <v>2.875</v>
      </c>
      <c r="G128" s="17"/>
      <c r="H128" s="16" t="s">
        <v>16</v>
      </c>
      <c r="I128" s="18">
        <v>2.9689999999999999</v>
      </c>
      <c r="J128" s="18">
        <v>4.6909999999999998</v>
      </c>
      <c r="K128" s="18">
        <v>10.08</v>
      </c>
      <c r="L128" s="18">
        <v>4.5449999999999999</v>
      </c>
      <c r="M128" s="16"/>
      <c r="N128" s="16">
        <v>100</v>
      </c>
      <c r="O128" s="16"/>
      <c r="P128" s="16">
        <v>100</v>
      </c>
      <c r="Q128" s="19">
        <v>440</v>
      </c>
      <c r="R128" s="19">
        <v>522</v>
      </c>
      <c r="S128" s="19">
        <v>605</v>
      </c>
      <c r="T128" s="19">
        <v>687</v>
      </c>
      <c r="U128" s="12"/>
    </row>
    <row r="129" spans="1:21" s="7" customFormat="1" x14ac:dyDescent="0.35">
      <c r="A129" s="7" t="s">
        <v>33</v>
      </c>
      <c r="B129" s="20">
        <v>4</v>
      </c>
      <c r="C129" s="16">
        <v>22.2</v>
      </c>
      <c r="D129" s="16">
        <v>0.61</v>
      </c>
      <c r="E129" s="16">
        <v>15.49</v>
      </c>
      <c r="F129" s="17">
        <v>2.6549999999999998</v>
      </c>
      <c r="G129" s="17"/>
      <c r="H129" s="16" t="s">
        <v>16</v>
      </c>
      <c r="I129" s="18">
        <v>2.7989999999999999</v>
      </c>
      <c r="J129" s="18">
        <v>4.827</v>
      </c>
      <c r="K129" s="18">
        <v>10.08</v>
      </c>
      <c r="L129" s="18">
        <v>4.5449999999999999</v>
      </c>
      <c r="M129" s="16"/>
      <c r="N129" s="16">
        <v>100</v>
      </c>
      <c r="O129" s="16"/>
      <c r="P129" s="16">
        <v>100</v>
      </c>
      <c r="Q129" s="19">
        <v>520</v>
      </c>
      <c r="R129" s="19">
        <v>617</v>
      </c>
      <c r="S129" s="19">
        <v>715</v>
      </c>
      <c r="T129" s="19">
        <v>812</v>
      </c>
      <c r="U129" s="12"/>
    </row>
    <row r="130" spans="1:21" s="7" customFormat="1" x14ac:dyDescent="0.35">
      <c r="A130" s="7" t="s">
        <v>33</v>
      </c>
      <c r="B130" s="20">
        <v>4.5</v>
      </c>
      <c r="C130" s="16">
        <v>10.5</v>
      </c>
      <c r="D130" s="16">
        <v>0.224</v>
      </c>
      <c r="E130" s="16">
        <v>5.69</v>
      </c>
      <c r="F130" s="17">
        <v>3.95</v>
      </c>
      <c r="G130" s="17" t="s">
        <v>42</v>
      </c>
      <c r="H130" s="16" t="s">
        <v>16</v>
      </c>
      <c r="I130" s="18">
        <v>3.9990000000000001</v>
      </c>
      <c r="J130" s="18">
        <v>4.859</v>
      </c>
      <c r="K130" s="18">
        <v>7.44</v>
      </c>
      <c r="L130" s="18">
        <v>3.2210000000000001</v>
      </c>
      <c r="M130" s="16"/>
      <c r="N130" s="16">
        <v>100</v>
      </c>
      <c r="O130" s="16"/>
      <c r="P130" s="16">
        <v>100</v>
      </c>
      <c r="Q130" s="19">
        <v>241</v>
      </c>
      <c r="R130" s="19">
        <v>286</v>
      </c>
      <c r="S130" s="19">
        <v>331</v>
      </c>
      <c r="T130" s="19">
        <v>376</v>
      </c>
      <c r="U130" s="12"/>
    </row>
    <row r="131" spans="1:21" s="7" customFormat="1" x14ac:dyDescent="0.35">
      <c r="A131" s="7" t="s">
        <v>33</v>
      </c>
      <c r="B131" s="20">
        <v>4.5</v>
      </c>
      <c r="C131" s="16">
        <v>11.6</v>
      </c>
      <c r="D131" s="16">
        <v>0.25</v>
      </c>
      <c r="E131" s="16">
        <v>6.35</v>
      </c>
      <c r="F131" s="17">
        <v>3.88</v>
      </c>
      <c r="G131" s="17" t="s">
        <v>42</v>
      </c>
      <c r="H131" s="16" t="s">
        <v>16</v>
      </c>
      <c r="I131" s="18">
        <v>3.952</v>
      </c>
      <c r="J131" s="18">
        <v>4.9029999999999996</v>
      </c>
      <c r="K131" s="18">
        <v>7.44</v>
      </c>
      <c r="L131" s="18">
        <v>3.2210000000000001</v>
      </c>
      <c r="M131" s="16"/>
      <c r="N131" s="16">
        <v>100</v>
      </c>
      <c r="O131" s="16"/>
      <c r="P131" s="16">
        <v>100</v>
      </c>
      <c r="Q131" s="19">
        <v>267</v>
      </c>
      <c r="R131" s="19">
        <v>317</v>
      </c>
      <c r="S131" s="19">
        <v>367</v>
      </c>
      <c r="T131" s="19">
        <v>417</v>
      </c>
      <c r="U131" s="12"/>
    </row>
    <row r="132" spans="1:21" s="7" customFormat="1" x14ac:dyDescent="0.35">
      <c r="A132" s="7" t="s">
        <v>33</v>
      </c>
      <c r="B132" s="20">
        <v>4.5</v>
      </c>
      <c r="C132" s="16">
        <v>12.6</v>
      </c>
      <c r="D132" s="16">
        <v>0.27100000000000002</v>
      </c>
      <c r="E132" s="16">
        <v>6.88</v>
      </c>
      <c r="F132" s="17">
        <v>3.88</v>
      </c>
      <c r="G132" s="17" t="s">
        <v>42</v>
      </c>
      <c r="H132" s="16" t="s">
        <v>16</v>
      </c>
      <c r="I132" s="18">
        <v>3.9129999999999998</v>
      </c>
      <c r="J132" s="18">
        <v>4.9370000000000003</v>
      </c>
      <c r="K132" s="18">
        <v>7.44</v>
      </c>
      <c r="L132" s="18">
        <v>3.2210000000000001</v>
      </c>
      <c r="M132" s="16"/>
      <c r="N132" s="16">
        <v>100</v>
      </c>
      <c r="O132" s="16"/>
      <c r="P132" s="16">
        <v>100</v>
      </c>
      <c r="Q132" s="19">
        <v>288</v>
      </c>
      <c r="R132" s="19">
        <v>342</v>
      </c>
      <c r="S132" s="19">
        <v>396</v>
      </c>
      <c r="T132" s="19">
        <v>450</v>
      </c>
      <c r="U132" s="12"/>
    </row>
    <row r="133" spans="1:21" s="7" customFormat="1" x14ac:dyDescent="0.35">
      <c r="A133" s="7" t="s">
        <v>33</v>
      </c>
      <c r="B133" s="20">
        <v>4.5</v>
      </c>
      <c r="C133" s="16">
        <v>13.5</v>
      </c>
      <c r="D133" s="16">
        <v>0.28999999999999998</v>
      </c>
      <c r="E133" s="16">
        <v>7.37</v>
      </c>
      <c r="F133" s="17">
        <v>3.8450000000000002</v>
      </c>
      <c r="G133" s="17" t="s">
        <v>42</v>
      </c>
      <c r="H133" s="16" t="s">
        <v>16</v>
      </c>
      <c r="I133" s="18">
        <v>3.8769999999999998</v>
      </c>
      <c r="J133" s="18">
        <v>4.968</v>
      </c>
      <c r="K133" s="18">
        <v>7.44</v>
      </c>
      <c r="L133" s="18">
        <v>3.2210000000000001</v>
      </c>
      <c r="M133" s="16"/>
      <c r="N133" s="16">
        <v>100</v>
      </c>
      <c r="O133" s="16"/>
      <c r="P133" s="16">
        <v>100</v>
      </c>
      <c r="Q133" s="19">
        <v>307</v>
      </c>
      <c r="R133" s="19">
        <v>364</v>
      </c>
      <c r="S133" s="19">
        <v>422</v>
      </c>
      <c r="T133" s="19">
        <v>480</v>
      </c>
      <c r="U133" s="12"/>
    </row>
    <row r="134" spans="1:21" s="7" customFormat="1" x14ac:dyDescent="0.35">
      <c r="A134" s="7" t="s">
        <v>33</v>
      </c>
      <c r="B134" s="20">
        <v>4.5</v>
      </c>
      <c r="C134" s="16">
        <v>15.1</v>
      </c>
      <c r="D134" s="16">
        <v>0.33700000000000002</v>
      </c>
      <c r="E134" s="16">
        <v>8.56</v>
      </c>
      <c r="F134" s="17">
        <v>3.75</v>
      </c>
      <c r="G134" s="17" t="s">
        <v>42</v>
      </c>
      <c r="H134" s="16" t="s">
        <v>16</v>
      </c>
      <c r="I134" s="18">
        <v>3.798</v>
      </c>
      <c r="J134" s="18">
        <v>5.0419999999999998</v>
      </c>
      <c r="K134" s="18">
        <v>7.44</v>
      </c>
      <c r="L134" s="18">
        <v>3.2210000000000001</v>
      </c>
      <c r="M134" s="16"/>
      <c r="N134" s="16">
        <v>100</v>
      </c>
      <c r="O134" s="16"/>
      <c r="P134" s="16">
        <v>100</v>
      </c>
      <c r="Q134" s="19">
        <v>353</v>
      </c>
      <c r="R134" s="19">
        <v>419</v>
      </c>
      <c r="S134" s="19">
        <v>485</v>
      </c>
      <c r="T134" s="19">
        <v>551</v>
      </c>
      <c r="U134" s="12"/>
    </row>
    <row r="135" spans="1:21" s="7" customFormat="1" x14ac:dyDescent="0.35">
      <c r="A135" s="7" t="s">
        <v>33</v>
      </c>
      <c r="B135" s="20">
        <v>4.5</v>
      </c>
      <c r="C135" s="16" t="s">
        <v>26</v>
      </c>
      <c r="D135" s="16">
        <v>0.38</v>
      </c>
      <c r="E135" s="16">
        <v>9.65</v>
      </c>
      <c r="F135" s="17">
        <v>3.6150000000000002</v>
      </c>
      <c r="G135" s="17"/>
      <c r="H135" s="16" t="s">
        <v>16</v>
      </c>
      <c r="I135" s="18">
        <v>3.68</v>
      </c>
      <c r="J135" s="18">
        <v>5.0629999999999997</v>
      </c>
      <c r="K135" s="18">
        <v>9.09</v>
      </c>
      <c r="L135" s="18">
        <v>4.0410000000000004</v>
      </c>
      <c r="M135" s="16"/>
      <c r="N135" s="16">
        <v>100</v>
      </c>
      <c r="O135" s="16"/>
      <c r="P135" s="16">
        <v>100</v>
      </c>
      <c r="Q135" s="19">
        <v>393</v>
      </c>
      <c r="R135" s="19">
        <v>467</v>
      </c>
      <c r="S135" s="19">
        <v>54</v>
      </c>
      <c r="T135" s="19">
        <v>615</v>
      </c>
      <c r="U135" s="12"/>
    </row>
    <row r="136" spans="1:21" s="7" customFormat="1" x14ac:dyDescent="0.35">
      <c r="A136" s="7" t="s">
        <v>33</v>
      </c>
      <c r="B136" s="20">
        <v>4.5</v>
      </c>
      <c r="C136" s="16">
        <v>17.7</v>
      </c>
      <c r="D136" s="16">
        <v>0.40200000000000002</v>
      </c>
      <c r="E136" s="16">
        <v>10.210000000000001</v>
      </c>
      <c r="F136" s="17">
        <v>3.5710000000000002</v>
      </c>
      <c r="G136" s="17"/>
      <c r="H136" s="16" t="s">
        <v>16</v>
      </c>
      <c r="I136" s="18">
        <v>3.641</v>
      </c>
      <c r="J136" s="18">
        <v>5.0960000000000001</v>
      </c>
      <c r="K136" s="18">
        <v>9.09</v>
      </c>
      <c r="L136" s="18">
        <v>4.0410000000000004</v>
      </c>
      <c r="M136" s="16"/>
      <c r="N136" s="16">
        <v>100</v>
      </c>
      <c r="O136" s="16"/>
      <c r="P136" s="16">
        <v>100</v>
      </c>
      <c r="Q136" s="19">
        <v>414</v>
      </c>
      <c r="R136" s="19">
        <v>492</v>
      </c>
      <c r="S136" s="19">
        <v>569</v>
      </c>
      <c r="T136" s="19">
        <v>647</v>
      </c>
      <c r="U136" s="12"/>
    </row>
    <row r="137" spans="1:21" s="7" customFormat="1" x14ac:dyDescent="0.35">
      <c r="A137" s="7" t="s">
        <v>33</v>
      </c>
      <c r="B137" s="20">
        <v>4.5</v>
      </c>
      <c r="C137" s="16">
        <v>18.899999999999999</v>
      </c>
      <c r="D137" s="16">
        <v>0.43</v>
      </c>
      <c r="E137" s="16">
        <v>10.92</v>
      </c>
      <c r="F137" s="17">
        <v>3.54</v>
      </c>
      <c r="G137" s="17" t="s">
        <v>42</v>
      </c>
      <c r="H137" s="16" t="s">
        <v>16</v>
      </c>
      <c r="I137" s="18">
        <v>3.5859999999999999</v>
      </c>
      <c r="J137" s="18">
        <v>5.1369999999999996</v>
      </c>
      <c r="K137" s="18">
        <v>9.09</v>
      </c>
      <c r="L137" s="18">
        <v>4.0410000000000004</v>
      </c>
      <c r="M137" s="16"/>
      <c r="N137" s="16">
        <v>100</v>
      </c>
      <c r="O137" s="16"/>
      <c r="P137" s="16">
        <v>100</v>
      </c>
      <c r="Q137" s="19">
        <v>440</v>
      </c>
      <c r="R137" s="19">
        <v>522</v>
      </c>
      <c r="S137" s="19">
        <v>605</v>
      </c>
      <c r="T137" s="19">
        <v>687</v>
      </c>
      <c r="U137" s="12"/>
    </row>
    <row r="138" spans="1:21" s="7" customFormat="1" x14ac:dyDescent="0.35">
      <c r="A138" s="7" t="s">
        <v>33</v>
      </c>
      <c r="B138" s="20">
        <v>4.5</v>
      </c>
      <c r="C138" s="16">
        <v>21.5</v>
      </c>
      <c r="D138" s="16">
        <v>0.5</v>
      </c>
      <c r="E138" s="16">
        <v>12.7</v>
      </c>
      <c r="F138" s="17">
        <v>3.375</v>
      </c>
      <c r="G138" s="17"/>
      <c r="H138" s="16" t="s">
        <v>16</v>
      </c>
      <c r="I138" s="18">
        <v>3.444</v>
      </c>
      <c r="J138" s="18">
        <v>5.2089999999999996</v>
      </c>
      <c r="K138" s="18">
        <v>10.08</v>
      </c>
      <c r="L138" s="18">
        <v>4.5449999999999999</v>
      </c>
      <c r="M138" s="16"/>
      <c r="N138" s="16">
        <v>100</v>
      </c>
      <c r="O138" s="16"/>
      <c r="P138" s="16">
        <v>100</v>
      </c>
      <c r="Q138" s="19">
        <v>503</v>
      </c>
      <c r="R138" s="19">
        <v>597</v>
      </c>
      <c r="S138" s="19">
        <v>691</v>
      </c>
      <c r="T138" s="19">
        <v>785</v>
      </c>
      <c r="U138" s="12"/>
    </row>
    <row r="139" spans="1:21" s="7" customFormat="1" x14ac:dyDescent="0.35">
      <c r="A139" s="7" t="s">
        <v>33</v>
      </c>
      <c r="B139" s="20">
        <v>4.5</v>
      </c>
      <c r="C139" s="16">
        <v>23.7</v>
      </c>
      <c r="D139" s="16">
        <v>0.56000000000000005</v>
      </c>
      <c r="E139" s="16">
        <v>14.22</v>
      </c>
      <c r="F139" s="17">
        <v>3.2549999999999999</v>
      </c>
      <c r="G139" s="17"/>
      <c r="H139" s="16" t="s">
        <v>16</v>
      </c>
      <c r="I139" s="18">
        <v>3.35</v>
      </c>
      <c r="J139" s="18">
        <v>5.2889999999999997</v>
      </c>
      <c r="K139" s="18">
        <v>10.08</v>
      </c>
      <c r="L139" s="18">
        <v>4.5449999999999999</v>
      </c>
      <c r="M139" s="16"/>
      <c r="N139" s="16">
        <v>100</v>
      </c>
      <c r="O139" s="16"/>
      <c r="P139" s="16">
        <v>100</v>
      </c>
      <c r="Q139" s="19">
        <v>555</v>
      </c>
      <c r="R139" s="19">
        <v>659</v>
      </c>
      <c r="S139" s="19">
        <v>763</v>
      </c>
      <c r="T139" s="19">
        <v>867</v>
      </c>
      <c r="U139" s="12"/>
    </row>
    <row r="140" spans="1:21" s="7" customFormat="1" x14ac:dyDescent="0.35">
      <c r="A140" s="7" t="s">
        <v>33</v>
      </c>
      <c r="B140" s="20">
        <v>5</v>
      </c>
      <c r="C140" s="16">
        <v>13</v>
      </c>
      <c r="D140" s="16">
        <v>0.253</v>
      </c>
      <c r="E140" s="16">
        <v>6.43</v>
      </c>
      <c r="F140" s="17">
        <v>4.3689999999999998</v>
      </c>
      <c r="G140" s="17"/>
      <c r="H140" s="16" t="s">
        <v>16</v>
      </c>
      <c r="I140" s="18">
        <v>4.4379999999999997</v>
      </c>
      <c r="J140" s="18">
        <v>5.4</v>
      </c>
      <c r="K140" s="18">
        <v>10.39</v>
      </c>
      <c r="L140" s="18">
        <v>4.1900000000000004</v>
      </c>
      <c r="M140" s="16"/>
      <c r="N140" s="16">
        <v>100</v>
      </c>
      <c r="O140" s="16"/>
      <c r="P140" s="16">
        <v>60</v>
      </c>
      <c r="Q140" s="19">
        <v>302</v>
      </c>
      <c r="R140" s="19">
        <v>358</v>
      </c>
      <c r="S140" s="19">
        <v>415</v>
      </c>
      <c r="T140" s="19">
        <v>472</v>
      </c>
      <c r="U140" s="12"/>
    </row>
    <row r="141" spans="1:21" s="7" customFormat="1" x14ac:dyDescent="0.35">
      <c r="A141" s="7" t="s">
        <v>33</v>
      </c>
      <c r="B141" s="20">
        <v>5</v>
      </c>
      <c r="C141" s="16">
        <v>15</v>
      </c>
      <c r="D141" s="16">
        <v>0.29599999999999999</v>
      </c>
      <c r="E141" s="16">
        <v>7.52</v>
      </c>
      <c r="F141" s="17">
        <v>4.2830000000000004</v>
      </c>
      <c r="G141" s="17"/>
      <c r="H141" s="16" t="s">
        <v>16</v>
      </c>
      <c r="I141" s="18">
        <v>4.391</v>
      </c>
      <c r="J141" s="18">
        <v>5.4710000000000001</v>
      </c>
      <c r="K141" s="18">
        <v>10.39</v>
      </c>
      <c r="L141" s="18">
        <v>4.1900000000000004</v>
      </c>
      <c r="M141" s="16"/>
      <c r="N141" s="16">
        <v>100</v>
      </c>
      <c r="O141" s="16"/>
      <c r="P141" s="16">
        <v>60</v>
      </c>
      <c r="Q141" s="19">
        <v>350</v>
      </c>
      <c r="R141" s="19">
        <v>416</v>
      </c>
      <c r="S141" s="19">
        <v>481</v>
      </c>
      <c r="T141" s="19">
        <v>547</v>
      </c>
      <c r="U141" s="12"/>
    </row>
    <row r="142" spans="1:21" s="7" customFormat="1" x14ac:dyDescent="0.35">
      <c r="A142" s="7" t="s">
        <v>33</v>
      </c>
      <c r="B142" s="20">
        <v>5</v>
      </c>
      <c r="C142" s="16">
        <v>18</v>
      </c>
      <c r="D142" s="16">
        <v>0.36199999999999999</v>
      </c>
      <c r="E142" s="16">
        <v>9.19</v>
      </c>
      <c r="F142" s="17">
        <v>4.1509999999999998</v>
      </c>
      <c r="G142" s="17"/>
      <c r="H142" s="16" t="s">
        <v>16</v>
      </c>
      <c r="I142" s="18">
        <v>4.391</v>
      </c>
      <c r="J142" s="18">
        <v>5.577</v>
      </c>
      <c r="K142" s="18">
        <v>10.39</v>
      </c>
      <c r="L142" s="18">
        <v>4.1900000000000004</v>
      </c>
      <c r="M142" s="16"/>
      <c r="N142" s="16">
        <v>100</v>
      </c>
      <c r="O142" s="16"/>
      <c r="P142" s="16">
        <v>60</v>
      </c>
      <c r="Q142" s="19">
        <v>422</v>
      </c>
      <c r="R142" s="19">
        <v>501</v>
      </c>
      <c r="S142" s="19">
        <v>580</v>
      </c>
      <c r="T142" s="19">
        <v>659</v>
      </c>
      <c r="U142" s="12"/>
    </row>
    <row r="143" spans="1:21" s="7" customFormat="1" x14ac:dyDescent="0.35">
      <c r="A143" s="7" t="s">
        <v>33</v>
      </c>
      <c r="B143" s="20">
        <v>5</v>
      </c>
      <c r="C143" s="16">
        <v>20.3</v>
      </c>
      <c r="D143" s="16">
        <v>0.40799999999999997</v>
      </c>
      <c r="E143" s="16">
        <v>10.36</v>
      </c>
      <c r="F143" s="17">
        <v>4.0590000000000002</v>
      </c>
      <c r="G143" s="17"/>
      <c r="H143" s="16" t="s">
        <v>16</v>
      </c>
      <c r="I143" s="18">
        <v>4.3070000000000004</v>
      </c>
      <c r="J143" s="18">
        <v>5.6479999999999997</v>
      </c>
      <c r="K143" s="18">
        <v>10.39</v>
      </c>
      <c r="L143" s="18">
        <v>4.1900000000000004</v>
      </c>
      <c r="M143" s="16"/>
      <c r="N143" s="16">
        <v>100</v>
      </c>
      <c r="O143" s="16"/>
      <c r="P143" s="16">
        <v>60</v>
      </c>
      <c r="Q143" s="19">
        <v>471</v>
      </c>
      <c r="R143" s="19">
        <v>559</v>
      </c>
      <c r="S143" s="19">
        <v>647</v>
      </c>
      <c r="T143" s="19">
        <v>736</v>
      </c>
      <c r="U143" s="12"/>
    </row>
    <row r="144" spans="1:21" s="7" customFormat="1" x14ac:dyDescent="0.35">
      <c r="A144" s="7" t="s">
        <v>33</v>
      </c>
      <c r="B144" s="20">
        <v>5</v>
      </c>
      <c r="C144" s="16">
        <v>20.8</v>
      </c>
      <c r="D144" s="16">
        <v>0.42199999999999999</v>
      </c>
      <c r="E144" s="16">
        <v>10.72</v>
      </c>
      <c r="F144" s="17">
        <v>4.0309999999999997</v>
      </c>
      <c r="G144" s="17"/>
      <c r="H144" s="16" t="s">
        <v>16</v>
      </c>
      <c r="I144" s="18">
        <v>4.2830000000000004</v>
      </c>
      <c r="J144" s="18">
        <v>5.67</v>
      </c>
      <c r="K144" s="18">
        <v>10.39</v>
      </c>
      <c r="L144" s="18">
        <v>4.1900000000000004</v>
      </c>
      <c r="M144" s="16"/>
      <c r="N144" s="16">
        <v>100</v>
      </c>
      <c r="O144" s="16"/>
      <c r="P144" s="16">
        <v>60</v>
      </c>
      <c r="Q144" s="19">
        <v>486</v>
      </c>
      <c r="R144" s="19">
        <v>577</v>
      </c>
      <c r="S144" s="19">
        <v>668</v>
      </c>
      <c r="T144" s="19">
        <v>759</v>
      </c>
      <c r="U144" s="12"/>
    </row>
    <row r="145" spans="1:21" s="7" customFormat="1" x14ac:dyDescent="0.35">
      <c r="A145" s="7" t="s">
        <v>33</v>
      </c>
      <c r="B145" s="20">
        <v>5</v>
      </c>
      <c r="C145" s="16">
        <v>21.4</v>
      </c>
      <c r="D145" s="16">
        <v>0.437</v>
      </c>
      <c r="E145" s="16">
        <v>11.1</v>
      </c>
      <c r="F145" s="17">
        <v>4.0010000000000003</v>
      </c>
      <c r="G145" s="17"/>
      <c r="H145" s="16" t="s">
        <v>16</v>
      </c>
      <c r="I145" s="18">
        <v>4.2549999999999999</v>
      </c>
      <c r="J145" s="18">
        <v>5.6909999999999998</v>
      </c>
      <c r="K145" s="18">
        <v>10.39</v>
      </c>
      <c r="L145" s="18">
        <v>4.1900000000000004</v>
      </c>
      <c r="M145" s="16"/>
      <c r="N145" s="16">
        <v>100</v>
      </c>
      <c r="O145" s="16"/>
      <c r="P145" s="16">
        <v>60</v>
      </c>
      <c r="Q145" s="19">
        <v>501</v>
      </c>
      <c r="R145" s="19">
        <v>595</v>
      </c>
      <c r="S145" s="19">
        <v>689</v>
      </c>
      <c r="T145" s="19">
        <v>783</v>
      </c>
      <c r="U145" s="12"/>
    </row>
    <row r="146" spans="1:21" s="7" customFormat="1" x14ac:dyDescent="0.35">
      <c r="A146" s="7" t="s">
        <v>33</v>
      </c>
      <c r="B146" s="20">
        <v>5</v>
      </c>
      <c r="C146" s="16">
        <v>23.2</v>
      </c>
      <c r="D146" s="16">
        <v>0.47799999999999998</v>
      </c>
      <c r="E146" s="16">
        <v>12.14</v>
      </c>
      <c r="F146" s="17">
        <v>3.919</v>
      </c>
      <c r="G146" s="17"/>
      <c r="H146" s="16" t="s">
        <v>16</v>
      </c>
      <c r="I146" s="18">
        <v>4.181</v>
      </c>
      <c r="J146" s="18">
        <v>5.7510000000000003</v>
      </c>
      <c r="K146" s="18">
        <v>10.39</v>
      </c>
      <c r="L146" s="18">
        <v>4.1900000000000004</v>
      </c>
      <c r="M146" s="16"/>
      <c r="N146" s="16">
        <v>100</v>
      </c>
      <c r="O146" s="16"/>
      <c r="P146" s="16">
        <v>60</v>
      </c>
      <c r="Q146" s="19">
        <v>543</v>
      </c>
      <c r="R146" s="19">
        <v>645</v>
      </c>
      <c r="S146" s="19">
        <v>747</v>
      </c>
      <c r="T146" s="19">
        <v>849</v>
      </c>
      <c r="U146" s="12"/>
    </row>
    <row r="147" spans="1:21" s="7" customFormat="1" x14ac:dyDescent="0.35">
      <c r="A147" s="7" t="s">
        <v>33</v>
      </c>
      <c r="B147" s="20">
        <v>5</v>
      </c>
      <c r="C147" s="16">
        <v>24.1</v>
      </c>
      <c r="D147" s="16">
        <v>0.5</v>
      </c>
      <c r="E147" s="16">
        <v>12.7</v>
      </c>
      <c r="F147" s="17">
        <v>3.875</v>
      </c>
      <c r="G147" s="17"/>
      <c r="H147" s="16" t="s">
        <v>16</v>
      </c>
      <c r="I147" s="18">
        <v>4.141</v>
      </c>
      <c r="J147" s="18">
        <v>5.782</v>
      </c>
      <c r="K147" s="18">
        <v>10.39</v>
      </c>
      <c r="L147" s="18">
        <v>4.1900000000000004</v>
      </c>
      <c r="M147" s="16"/>
      <c r="N147" s="16">
        <v>100</v>
      </c>
      <c r="O147" s="16"/>
      <c r="P147" s="16">
        <v>60</v>
      </c>
      <c r="Q147" s="19">
        <v>566</v>
      </c>
      <c r="R147" s="19">
        <v>672</v>
      </c>
      <c r="S147" s="19">
        <v>778</v>
      </c>
      <c r="T147" s="19">
        <v>884</v>
      </c>
      <c r="U147" s="12"/>
    </row>
    <row r="148" spans="1:21" s="7" customFormat="1" x14ac:dyDescent="0.35">
      <c r="A148" s="7" t="s">
        <v>33</v>
      </c>
      <c r="B148" s="20">
        <v>5.5</v>
      </c>
      <c r="C148" s="16">
        <v>14</v>
      </c>
      <c r="D148" s="16">
        <v>0.24399999999999999</v>
      </c>
      <c r="E148" s="16">
        <v>6.2</v>
      </c>
      <c r="F148" s="17">
        <v>4.8869999999999996</v>
      </c>
      <c r="G148" s="17"/>
      <c r="H148" s="16" t="s">
        <v>16</v>
      </c>
      <c r="I148" s="18">
        <v>4.931</v>
      </c>
      <c r="J148" s="18">
        <v>5.8760000000000003</v>
      </c>
      <c r="K148" s="18">
        <v>10.75</v>
      </c>
      <c r="L148" s="18">
        <v>4.3819999999999997</v>
      </c>
      <c r="M148" s="16"/>
      <c r="N148" s="16">
        <v>100</v>
      </c>
      <c r="O148" s="16"/>
      <c r="P148" s="16">
        <v>60</v>
      </c>
      <c r="Q148" s="19">
        <v>322</v>
      </c>
      <c r="R148" s="19">
        <v>383</v>
      </c>
      <c r="S148" s="19">
        <v>443</v>
      </c>
      <c r="T148" s="19">
        <v>504</v>
      </c>
      <c r="U148" s="12"/>
    </row>
    <row r="149" spans="1:21" s="7" customFormat="1" x14ac:dyDescent="0.35">
      <c r="A149" s="7" t="s">
        <v>33</v>
      </c>
      <c r="B149" s="20">
        <v>5.5</v>
      </c>
      <c r="C149" s="16">
        <v>15.5</v>
      </c>
      <c r="D149" s="16">
        <v>0.27500000000000002</v>
      </c>
      <c r="E149" s="16">
        <v>6.99</v>
      </c>
      <c r="F149" s="17">
        <v>4.8250000000000002</v>
      </c>
      <c r="G149" s="17"/>
      <c r="H149" s="16" t="s">
        <v>16</v>
      </c>
      <c r="I149" s="18">
        <v>4.8949999999999996</v>
      </c>
      <c r="J149" s="18">
        <v>5.93</v>
      </c>
      <c r="K149" s="18">
        <v>10.75</v>
      </c>
      <c r="L149" s="18">
        <v>4.3819999999999997</v>
      </c>
      <c r="M149" s="16"/>
      <c r="N149" s="16">
        <v>100</v>
      </c>
      <c r="O149" s="16"/>
      <c r="P149" s="16">
        <v>60</v>
      </c>
      <c r="Q149" s="19">
        <v>361</v>
      </c>
      <c r="R149" s="19">
        <v>429</v>
      </c>
      <c r="S149" s="19">
        <v>497</v>
      </c>
      <c r="T149" s="19">
        <v>564</v>
      </c>
      <c r="U149" s="12"/>
    </row>
    <row r="150" spans="1:21" s="7" customFormat="1" x14ac:dyDescent="0.35">
      <c r="A150" s="7" t="s">
        <v>33</v>
      </c>
      <c r="B150" s="20">
        <v>5.5</v>
      </c>
      <c r="C150" s="16">
        <v>17</v>
      </c>
      <c r="D150" s="16">
        <v>0.30399999999999999</v>
      </c>
      <c r="E150" s="16">
        <v>7.72</v>
      </c>
      <c r="F150" s="17">
        <v>4.7670000000000003</v>
      </c>
      <c r="G150" s="17"/>
      <c r="H150" s="16" t="s">
        <v>16</v>
      </c>
      <c r="I150" s="18">
        <v>4.8949999999999996</v>
      </c>
      <c r="J150" s="18">
        <v>5.9790000000000001</v>
      </c>
      <c r="K150" s="18">
        <v>10.75</v>
      </c>
      <c r="L150" s="18">
        <v>4.3819999999999997</v>
      </c>
      <c r="M150" s="16"/>
      <c r="N150" s="16">
        <v>100</v>
      </c>
      <c r="O150" s="16"/>
      <c r="P150" s="16">
        <v>60</v>
      </c>
      <c r="Q150" s="19">
        <v>397</v>
      </c>
      <c r="R150" s="19">
        <v>471</v>
      </c>
      <c r="S150" s="19">
        <v>546</v>
      </c>
      <c r="T150" s="19">
        <v>620</v>
      </c>
      <c r="U150" s="12"/>
    </row>
    <row r="151" spans="1:21" s="7" customFormat="1" x14ac:dyDescent="0.35">
      <c r="A151" s="7" t="s">
        <v>33</v>
      </c>
      <c r="B151" s="20">
        <v>5.5</v>
      </c>
      <c r="C151" s="16">
        <v>20</v>
      </c>
      <c r="D151" s="16">
        <v>0.36099999999999999</v>
      </c>
      <c r="E151" s="16">
        <v>9.17</v>
      </c>
      <c r="F151" s="17">
        <v>4.6529999999999996</v>
      </c>
      <c r="G151" s="17"/>
      <c r="H151" s="16" t="s">
        <v>16</v>
      </c>
      <c r="I151" s="18">
        <v>4.8949999999999996</v>
      </c>
      <c r="J151" s="18">
        <v>6.0709999999999997</v>
      </c>
      <c r="K151" s="18">
        <v>10.75</v>
      </c>
      <c r="L151" s="18">
        <v>4.3819999999999997</v>
      </c>
      <c r="M151" s="16"/>
      <c r="N151" s="16">
        <v>100</v>
      </c>
      <c r="O151" s="16"/>
      <c r="P151" s="16">
        <v>60</v>
      </c>
      <c r="Q151" s="19">
        <v>466</v>
      </c>
      <c r="R151" s="19">
        <v>554</v>
      </c>
      <c r="S151" s="19">
        <v>641</v>
      </c>
      <c r="T151" s="19">
        <v>729</v>
      </c>
      <c r="U151" s="12"/>
    </row>
    <row r="152" spans="1:21" s="7" customFormat="1" x14ac:dyDescent="0.35">
      <c r="A152" s="7" t="s">
        <v>33</v>
      </c>
      <c r="B152" s="20">
        <v>5.5</v>
      </c>
      <c r="C152" s="16">
        <v>23</v>
      </c>
      <c r="D152" s="16">
        <v>0.41499999999999998</v>
      </c>
      <c r="E152" s="16">
        <v>10.54</v>
      </c>
      <c r="F152" s="17">
        <v>4.5449999999999999</v>
      </c>
      <c r="G152" s="17"/>
      <c r="H152" s="16" t="s">
        <v>16</v>
      </c>
      <c r="I152" s="18">
        <v>4.8010000000000002</v>
      </c>
      <c r="J152" s="18">
        <v>6.1559999999999997</v>
      </c>
      <c r="K152" s="18">
        <v>10.75</v>
      </c>
      <c r="L152" s="18">
        <v>4.3819999999999997</v>
      </c>
      <c r="M152" s="16"/>
      <c r="N152" s="16">
        <v>100</v>
      </c>
      <c r="O152" s="16"/>
      <c r="P152" s="16">
        <v>60</v>
      </c>
      <c r="Q152" s="19">
        <v>530</v>
      </c>
      <c r="R152" s="19">
        <v>630</v>
      </c>
      <c r="S152" s="19">
        <v>729</v>
      </c>
      <c r="T152" s="19">
        <v>829</v>
      </c>
      <c r="U152" s="12"/>
    </row>
    <row r="153" spans="1:21" s="7" customFormat="1" x14ac:dyDescent="0.35">
      <c r="A153" s="7" t="s">
        <v>33</v>
      </c>
      <c r="B153" s="20">
        <v>5.5</v>
      </c>
      <c r="C153" s="16">
        <v>26</v>
      </c>
      <c r="D153" s="16">
        <v>0.47599999999999998</v>
      </c>
      <c r="E153" s="16">
        <v>12.09</v>
      </c>
      <c r="F153" s="17">
        <v>4.423</v>
      </c>
      <c r="G153" s="17"/>
      <c r="H153" s="16" t="s">
        <v>16</v>
      </c>
      <c r="I153" s="18">
        <v>4.6900000000000004</v>
      </c>
      <c r="J153" s="18">
        <v>6.2489999999999997</v>
      </c>
      <c r="K153" s="18">
        <v>10.75</v>
      </c>
      <c r="L153" s="18">
        <v>4.3819999999999997</v>
      </c>
      <c r="M153" s="16"/>
      <c r="N153" s="16">
        <v>100</v>
      </c>
      <c r="O153" s="16"/>
      <c r="P153" s="16">
        <v>60</v>
      </c>
      <c r="Q153" s="19">
        <v>601</v>
      </c>
      <c r="R153" s="19">
        <v>714</v>
      </c>
      <c r="S153" s="19">
        <v>826</v>
      </c>
      <c r="T153" s="19">
        <v>939</v>
      </c>
      <c r="U153" s="12"/>
    </row>
    <row r="154" spans="1:21" s="7" customFormat="1" x14ac:dyDescent="0.35">
      <c r="A154" s="7" t="s">
        <v>33</v>
      </c>
      <c r="B154" s="20">
        <v>5.5</v>
      </c>
      <c r="C154" s="16">
        <v>26.8</v>
      </c>
      <c r="D154" s="16">
        <v>0.5</v>
      </c>
      <c r="E154" s="16">
        <v>12.7</v>
      </c>
      <c r="F154" s="17">
        <v>4.375</v>
      </c>
      <c r="G154" s="17"/>
      <c r="H154" s="16" t="s">
        <v>16</v>
      </c>
      <c r="I154" s="18">
        <v>4.6470000000000002</v>
      </c>
      <c r="J154" s="18">
        <v>6.2839999999999998</v>
      </c>
      <c r="K154" s="18">
        <v>10.75</v>
      </c>
      <c r="L154" s="18">
        <v>4.3819999999999997</v>
      </c>
      <c r="M154" s="16"/>
      <c r="N154" s="16">
        <v>100</v>
      </c>
      <c r="O154" s="16"/>
      <c r="P154" s="16">
        <v>60</v>
      </c>
      <c r="Q154" s="19">
        <v>628</v>
      </c>
      <c r="R154" s="19">
        <v>746</v>
      </c>
      <c r="S154" s="19">
        <v>864</v>
      </c>
      <c r="T154" s="19">
        <v>982</v>
      </c>
      <c r="U154" s="12"/>
    </row>
    <row r="155" spans="1:21" s="7" customFormat="1" x14ac:dyDescent="0.35">
      <c r="A155" s="7" t="s">
        <v>33</v>
      </c>
      <c r="B155" s="20">
        <v>5.5</v>
      </c>
      <c r="C155" s="16">
        <v>28.4</v>
      </c>
      <c r="D155" s="16">
        <v>0.53</v>
      </c>
      <c r="E155" s="16">
        <v>13.46</v>
      </c>
      <c r="F155" s="17">
        <v>4.3150000000000004</v>
      </c>
      <c r="G155" s="17"/>
      <c r="H155" s="16" t="s">
        <v>16</v>
      </c>
      <c r="I155" s="18">
        <v>4.5940000000000003</v>
      </c>
      <c r="J155" s="18">
        <v>6.327</v>
      </c>
      <c r="K155" s="18">
        <v>10.75</v>
      </c>
      <c r="L155" s="18">
        <v>4.3819999999999997</v>
      </c>
      <c r="M155" s="16"/>
      <c r="N155" s="16">
        <v>100</v>
      </c>
      <c r="O155" s="16"/>
      <c r="P155" s="16">
        <v>60</v>
      </c>
      <c r="Q155" s="19">
        <v>662</v>
      </c>
      <c r="R155" s="19">
        <v>786</v>
      </c>
      <c r="S155" s="19">
        <v>910</v>
      </c>
      <c r="T155" s="19">
        <v>1034</v>
      </c>
      <c r="U155" s="12"/>
    </row>
    <row r="156" spans="1:21" s="7" customFormat="1" x14ac:dyDescent="0.35">
      <c r="A156" s="7" t="s">
        <v>33</v>
      </c>
      <c r="B156" s="20">
        <v>5.5</v>
      </c>
      <c r="C156" s="16">
        <v>29.7</v>
      </c>
      <c r="D156" s="16">
        <v>0.56200000000000006</v>
      </c>
      <c r="E156" s="16">
        <v>14.27</v>
      </c>
      <c r="F156" s="17">
        <v>4.2510000000000003</v>
      </c>
      <c r="G156" s="17"/>
      <c r="H156" s="16" t="s">
        <v>16</v>
      </c>
      <c r="I156" s="18">
        <v>4.5350000000000001</v>
      </c>
      <c r="J156" s="18">
        <v>6.3730000000000002</v>
      </c>
      <c r="K156" s="18">
        <v>10.75</v>
      </c>
      <c r="L156" s="18">
        <v>4.3819999999999997</v>
      </c>
      <c r="M156" s="16"/>
      <c r="N156" s="16">
        <v>100</v>
      </c>
      <c r="O156" s="16"/>
      <c r="P156" s="16">
        <v>60</v>
      </c>
      <c r="Q156" s="19">
        <v>697</v>
      </c>
      <c r="R156" s="19">
        <v>828</v>
      </c>
      <c r="S156" s="19">
        <v>959</v>
      </c>
      <c r="T156" s="19">
        <v>1090</v>
      </c>
      <c r="U156" s="12"/>
    </row>
    <row r="157" spans="1:21" s="7" customFormat="1" x14ac:dyDescent="0.35">
      <c r="A157" s="7" t="s">
        <v>33</v>
      </c>
      <c r="B157" s="20">
        <v>5.75</v>
      </c>
      <c r="C157" s="16">
        <v>18.100000000000001</v>
      </c>
      <c r="D157" s="16">
        <v>0.30399999999999999</v>
      </c>
      <c r="E157" s="16">
        <v>7.72</v>
      </c>
      <c r="F157" s="17">
        <v>5.0170000000000003</v>
      </c>
      <c r="G157" s="17"/>
      <c r="H157" s="16" t="s">
        <v>16</v>
      </c>
      <c r="I157" s="18">
        <v>5.173</v>
      </c>
      <c r="J157" s="18">
        <v>6.2640000000000002</v>
      </c>
      <c r="K157" s="18">
        <v>9.5299999999999994</v>
      </c>
      <c r="L157" s="18">
        <v>3.7719999999999998</v>
      </c>
      <c r="M157" s="16"/>
      <c r="N157" s="16">
        <v>100</v>
      </c>
      <c r="O157" s="16"/>
      <c r="P157" s="16">
        <v>60</v>
      </c>
      <c r="Q157" s="19">
        <v>416</v>
      </c>
      <c r="R157" s="19">
        <v>494</v>
      </c>
      <c r="S157" s="19">
        <v>572</v>
      </c>
      <c r="T157" s="19">
        <v>650</v>
      </c>
      <c r="U157" s="12"/>
    </row>
    <row r="158" spans="1:21" s="7" customFormat="1" x14ac:dyDescent="0.35">
      <c r="A158" s="7" t="s">
        <v>33</v>
      </c>
      <c r="B158" s="20">
        <v>5.75</v>
      </c>
      <c r="C158" s="16">
        <v>19.7</v>
      </c>
      <c r="D158" s="16">
        <v>0.33500000000000002</v>
      </c>
      <c r="E158" s="16">
        <v>8.51</v>
      </c>
      <c r="F158" s="17">
        <v>4.9550000000000001</v>
      </c>
      <c r="G158" s="17"/>
      <c r="H158" s="16" t="s">
        <v>16</v>
      </c>
      <c r="I158" s="18">
        <v>5.1369999999999996</v>
      </c>
      <c r="J158" s="18">
        <v>6.3170000000000002</v>
      </c>
      <c r="K158" s="18">
        <v>9.5299999999999994</v>
      </c>
      <c r="L158" s="18">
        <v>3.7719999999999998</v>
      </c>
      <c r="M158" s="16"/>
      <c r="N158" s="16">
        <v>100</v>
      </c>
      <c r="O158" s="16"/>
      <c r="P158" s="16">
        <v>60</v>
      </c>
      <c r="Q158" s="19">
        <v>456</v>
      </c>
      <c r="R158" s="19">
        <v>541</v>
      </c>
      <c r="S158" s="19">
        <v>627</v>
      </c>
      <c r="T158" s="19">
        <v>712</v>
      </c>
      <c r="U158" s="12"/>
    </row>
    <row r="159" spans="1:21" s="7" customFormat="1" x14ac:dyDescent="0.35">
      <c r="A159" s="7" t="s">
        <v>33</v>
      </c>
      <c r="B159" s="20">
        <v>5.75</v>
      </c>
      <c r="C159" s="16">
        <v>21.8</v>
      </c>
      <c r="D159" s="16">
        <v>0.375</v>
      </c>
      <c r="E159" s="16">
        <v>9.52</v>
      </c>
      <c r="F159" s="17">
        <v>4.875</v>
      </c>
      <c r="G159" s="17"/>
      <c r="H159" s="16" t="s">
        <v>16</v>
      </c>
      <c r="I159" s="18">
        <v>5.09</v>
      </c>
      <c r="J159" s="18">
        <v>6.3819999999999997</v>
      </c>
      <c r="K159" s="18">
        <v>9.5299999999999994</v>
      </c>
      <c r="L159" s="18">
        <v>3.7719999999999998</v>
      </c>
      <c r="M159" s="16"/>
      <c r="N159" s="16">
        <v>100</v>
      </c>
      <c r="O159" s="16"/>
      <c r="P159" s="16">
        <v>60</v>
      </c>
      <c r="Q159" s="19">
        <v>507</v>
      </c>
      <c r="R159" s="19">
        <v>602</v>
      </c>
      <c r="S159" s="19">
        <v>697</v>
      </c>
      <c r="T159" s="19">
        <v>792</v>
      </c>
      <c r="U159" s="12"/>
    </row>
    <row r="160" spans="1:21" s="7" customFormat="1" x14ac:dyDescent="0.35">
      <c r="A160" s="7" t="s">
        <v>33</v>
      </c>
      <c r="B160" s="20">
        <f>6+5/8</f>
        <v>6.625</v>
      </c>
      <c r="C160" s="16">
        <v>20</v>
      </c>
      <c r="D160" s="16">
        <v>0.28799999999999998</v>
      </c>
      <c r="E160" s="16">
        <v>7.32</v>
      </c>
      <c r="F160" s="17">
        <v>5.9240000000000004</v>
      </c>
      <c r="G160" s="17"/>
      <c r="H160" s="16" t="s">
        <v>16</v>
      </c>
      <c r="I160" s="18">
        <v>6.0490000000000004</v>
      </c>
      <c r="J160" s="18">
        <v>7.0810000000000004</v>
      </c>
      <c r="K160" s="18">
        <v>10.87</v>
      </c>
      <c r="L160" s="18">
        <v>4.4269999999999996</v>
      </c>
      <c r="M160" s="16"/>
      <c r="N160" s="16">
        <v>100</v>
      </c>
      <c r="O160" s="16"/>
      <c r="P160" s="16">
        <v>60</v>
      </c>
      <c r="Q160" s="19">
        <v>459</v>
      </c>
      <c r="R160" s="19">
        <v>545</v>
      </c>
      <c r="S160" s="19">
        <v>631</v>
      </c>
      <c r="T160" s="19">
        <v>717</v>
      </c>
      <c r="U160" s="12"/>
    </row>
    <row r="161" spans="1:21" s="7" customFormat="1" x14ac:dyDescent="0.35">
      <c r="A161" s="7" t="s">
        <v>33</v>
      </c>
      <c r="B161" s="20">
        <f t="shared" ref="B161:B165" si="3">6+5/8</f>
        <v>6.625</v>
      </c>
      <c r="C161" s="16">
        <v>23.2</v>
      </c>
      <c r="D161" s="16">
        <v>0.33</v>
      </c>
      <c r="E161" s="16">
        <v>8.3800000000000008</v>
      </c>
      <c r="F161" s="17">
        <v>5.84</v>
      </c>
      <c r="G161" s="17"/>
      <c r="H161" s="16" t="s">
        <v>16</v>
      </c>
      <c r="I161" s="18">
        <v>6.0490000000000004</v>
      </c>
      <c r="J161" s="18">
        <v>7.1539999999999999</v>
      </c>
      <c r="K161" s="18">
        <v>10.87</v>
      </c>
      <c r="L161" s="18">
        <v>4.4269999999999996</v>
      </c>
      <c r="M161" s="16"/>
      <c r="N161" s="16">
        <v>100</v>
      </c>
      <c r="O161" s="16"/>
      <c r="P161" s="16">
        <v>60</v>
      </c>
      <c r="Q161" s="19">
        <v>522</v>
      </c>
      <c r="R161" s="19">
        <v>620</v>
      </c>
      <c r="S161" s="19">
        <v>718</v>
      </c>
      <c r="T161" s="19">
        <v>816</v>
      </c>
      <c r="U161" s="12"/>
    </row>
    <row r="162" spans="1:21" s="7" customFormat="1" x14ac:dyDescent="0.35">
      <c r="A162" s="7" t="s">
        <v>33</v>
      </c>
      <c r="B162" s="20">
        <f t="shared" si="3"/>
        <v>6.625</v>
      </c>
      <c r="C162" s="16">
        <v>24</v>
      </c>
      <c r="D162" s="16">
        <v>0.35199999999999998</v>
      </c>
      <c r="E162" s="16">
        <v>8.94</v>
      </c>
      <c r="F162" s="17">
        <v>5.7960000000000003</v>
      </c>
      <c r="G162" s="17"/>
      <c r="H162" s="16" t="s">
        <v>16</v>
      </c>
      <c r="I162" s="18">
        <v>6.0490000000000004</v>
      </c>
      <c r="J162" s="18">
        <v>7.1909999999999998</v>
      </c>
      <c r="K162" s="18">
        <v>10.87</v>
      </c>
      <c r="L162" s="18">
        <v>4.4269999999999996</v>
      </c>
      <c r="M162" s="16"/>
      <c r="N162" s="16">
        <v>100</v>
      </c>
      <c r="O162" s="16"/>
      <c r="P162" s="16">
        <v>60</v>
      </c>
      <c r="Q162" s="19">
        <v>555</v>
      </c>
      <c r="R162" s="19">
        <v>659</v>
      </c>
      <c r="S162" s="19">
        <v>763</v>
      </c>
      <c r="T162" s="19">
        <v>867</v>
      </c>
      <c r="U162" s="12"/>
    </row>
    <row r="163" spans="1:21" s="7" customFormat="1" x14ac:dyDescent="0.35">
      <c r="A163" s="7" t="s">
        <v>33</v>
      </c>
      <c r="B163" s="20">
        <f t="shared" si="3"/>
        <v>6.625</v>
      </c>
      <c r="C163" s="16">
        <v>28</v>
      </c>
      <c r="D163" s="16">
        <v>0.41699999999999998</v>
      </c>
      <c r="E163" s="16">
        <v>10.59</v>
      </c>
      <c r="F163" s="17">
        <v>5.6660000000000004</v>
      </c>
      <c r="G163" s="17"/>
      <c r="H163" s="16" t="s">
        <v>16</v>
      </c>
      <c r="I163" s="18">
        <v>5.931</v>
      </c>
      <c r="J163" s="18">
        <v>7.298</v>
      </c>
      <c r="K163" s="18">
        <v>10.87</v>
      </c>
      <c r="L163" s="18">
        <v>4.4269999999999996</v>
      </c>
      <c r="M163" s="16"/>
      <c r="N163" s="16">
        <v>100</v>
      </c>
      <c r="O163" s="16"/>
      <c r="P163" s="16">
        <v>60</v>
      </c>
      <c r="Q163" s="19">
        <v>65</v>
      </c>
      <c r="R163" s="19">
        <v>773</v>
      </c>
      <c r="S163" s="19">
        <v>895</v>
      </c>
      <c r="T163" s="19">
        <v>1017</v>
      </c>
      <c r="U163" s="12"/>
    </row>
    <row r="164" spans="1:21" s="7" customFormat="1" x14ac:dyDescent="0.35">
      <c r="A164" s="7" t="s">
        <v>33</v>
      </c>
      <c r="B164" s="20">
        <f t="shared" si="3"/>
        <v>6.625</v>
      </c>
      <c r="C164" s="16">
        <v>32</v>
      </c>
      <c r="D164" s="16">
        <v>0.47499999999999998</v>
      </c>
      <c r="E164" s="16">
        <v>12.06</v>
      </c>
      <c r="F164" s="17">
        <v>5.55</v>
      </c>
      <c r="G164" s="17"/>
      <c r="H164" s="16" t="s">
        <v>16</v>
      </c>
      <c r="I164" s="18">
        <v>5.8239999999999998</v>
      </c>
      <c r="J164" s="18">
        <v>7.39</v>
      </c>
      <c r="K164" s="18">
        <v>10.87</v>
      </c>
      <c r="L164" s="18">
        <v>4.4269999999999996</v>
      </c>
      <c r="M164" s="16"/>
      <c r="N164" s="16">
        <v>100</v>
      </c>
      <c r="O164" s="16"/>
      <c r="P164" s="16">
        <v>60</v>
      </c>
      <c r="Q164" s="19">
        <v>734</v>
      </c>
      <c r="R164" s="19">
        <v>872</v>
      </c>
      <c r="S164" s="19">
        <v>1009</v>
      </c>
      <c r="T164" s="19">
        <v>1147</v>
      </c>
      <c r="U164" s="12"/>
    </row>
    <row r="165" spans="1:21" s="7" customFormat="1" x14ac:dyDescent="0.35">
      <c r="A165" s="7" t="s">
        <v>33</v>
      </c>
      <c r="B165" s="20">
        <f t="shared" si="3"/>
        <v>6.625</v>
      </c>
      <c r="C165" s="16">
        <v>36.700000000000003</v>
      </c>
      <c r="D165" s="16">
        <v>0.56200000000000006</v>
      </c>
      <c r="E165" s="16">
        <v>14.27</v>
      </c>
      <c r="F165" s="17">
        <v>5.3760000000000003</v>
      </c>
      <c r="G165" s="17"/>
      <c r="H165" s="16" t="s">
        <v>16</v>
      </c>
      <c r="I165" s="18">
        <v>5.6689999999999996</v>
      </c>
      <c r="J165" s="18">
        <v>7.524</v>
      </c>
      <c r="K165" s="18">
        <v>10.87</v>
      </c>
      <c r="L165" s="18">
        <v>4.4269999999999996</v>
      </c>
      <c r="M165" s="16"/>
      <c r="N165" s="16">
        <v>100</v>
      </c>
      <c r="O165" s="16"/>
      <c r="P165" s="16">
        <v>60</v>
      </c>
      <c r="Q165" s="19">
        <v>856</v>
      </c>
      <c r="R165" s="19">
        <v>1017</v>
      </c>
      <c r="S165" s="19">
        <v>1178</v>
      </c>
      <c r="T165" s="19">
        <v>1338</v>
      </c>
      <c r="U165" s="12"/>
    </row>
    <row r="166" spans="1:21" s="7" customFormat="1" x14ac:dyDescent="0.35">
      <c r="A166" s="7" t="s">
        <v>33</v>
      </c>
      <c r="B166" s="20">
        <v>7</v>
      </c>
      <c r="C166" s="16">
        <v>23</v>
      </c>
      <c r="D166" s="16">
        <v>0.317</v>
      </c>
      <c r="E166" s="16">
        <v>8.0500000000000007</v>
      </c>
      <c r="F166" s="17">
        <v>6.25</v>
      </c>
      <c r="G166" s="17" t="s">
        <v>41</v>
      </c>
      <c r="H166" s="16" t="s">
        <v>16</v>
      </c>
      <c r="I166" s="18">
        <v>6.3239999999999998</v>
      </c>
      <c r="J166" s="18">
        <v>7.4889999999999999</v>
      </c>
      <c r="K166" s="18">
        <v>11.54</v>
      </c>
      <c r="L166" s="18">
        <v>4.7750000000000004</v>
      </c>
      <c r="M166" s="16"/>
      <c r="N166" s="16">
        <v>100</v>
      </c>
      <c r="O166" s="16"/>
      <c r="P166" s="16">
        <v>60</v>
      </c>
      <c r="Q166" s="19">
        <v>532</v>
      </c>
      <c r="R166" s="19">
        <v>632</v>
      </c>
      <c r="S166" s="19">
        <v>732</v>
      </c>
      <c r="T166" s="19">
        <v>832</v>
      </c>
      <c r="U166" s="12"/>
    </row>
    <row r="167" spans="1:21" s="7" customFormat="1" x14ac:dyDescent="0.35">
      <c r="A167" s="7" t="s">
        <v>33</v>
      </c>
      <c r="B167" s="20">
        <v>7</v>
      </c>
      <c r="C167" s="16">
        <v>26</v>
      </c>
      <c r="D167" s="16">
        <v>0.36199999999999999</v>
      </c>
      <c r="E167" s="16">
        <v>9.19</v>
      </c>
      <c r="F167" s="17">
        <v>6.1509999999999998</v>
      </c>
      <c r="G167" s="17"/>
      <c r="H167" s="16" t="s">
        <v>16</v>
      </c>
      <c r="I167" s="18">
        <v>6.3239999999999998</v>
      </c>
      <c r="J167" s="18">
        <v>7.5650000000000004</v>
      </c>
      <c r="K167" s="18">
        <v>11.54</v>
      </c>
      <c r="L167" s="18">
        <v>4.7750000000000004</v>
      </c>
      <c r="M167" s="16"/>
      <c r="N167" s="16">
        <v>100</v>
      </c>
      <c r="O167" s="16"/>
      <c r="P167" s="16">
        <v>60</v>
      </c>
      <c r="Q167" s="19">
        <v>604</v>
      </c>
      <c r="R167" s="19">
        <v>717</v>
      </c>
      <c r="S167" s="19">
        <v>830</v>
      </c>
      <c r="T167" s="19">
        <v>944</v>
      </c>
      <c r="U167" s="12"/>
    </row>
    <row r="168" spans="1:21" s="7" customFormat="1" x14ac:dyDescent="0.35">
      <c r="A168" s="7" t="s">
        <v>33</v>
      </c>
      <c r="B168" s="20">
        <v>7</v>
      </c>
      <c r="C168" s="16">
        <v>29</v>
      </c>
      <c r="D168" s="16">
        <v>0.40799999999999997</v>
      </c>
      <c r="E168" s="16">
        <v>10.36</v>
      </c>
      <c r="F168" s="17">
        <v>6.0590000000000002</v>
      </c>
      <c r="G168" s="17"/>
      <c r="H168" s="16" t="s">
        <v>16</v>
      </c>
      <c r="I168" s="18">
        <v>6.3239999999999998</v>
      </c>
      <c r="J168" s="18">
        <v>7.6440000000000001</v>
      </c>
      <c r="K168" s="18">
        <v>11.54</v>
      </c>
      <c r="L168" s="18">
        <v>4.7750000000000004</v>
      </c>
      <c r="M168" s="16"/>
      <c r="N168" s="16">
        <v>100</v>
      </c>
      <c r="O168" s="16"/>
      <c r="P168" s="16">
        <v>60</v>
      </c>
      <c r="Q168" s="19">
        <v>676</v>
      </c>
      <c r="R168" s="19">
        <v>803</v>
      </c>
      <c r="S168" s="19">
        <v>929</v>
      </c>
      <c r="T168" s="19">
        <v>1056</v>
      </c>
      <c r="U168" s="12"/>
    </row>
    <row r="169" spans="1:21" s="7" customFormat="1" x14ac:dyDescent="0.35">
      <c r="A169" s="7" t="s">
        <v>33</v>
      </c>
      <c r="B169" s="20">
        <v>7</v>
      </c>
      <c r="C169" s="16">
        <v>32</v>
      </c>
      <c r="D169" s="16">
        <v>0.45300000000000001</v>
      </c>
      <c r="E169" s="16">
        <v>11.51</v>
      </c>
      <c r="F169" s="17">
        <v>6</v>
      </c>
      <c r="G169" s="17" t="s">
        <v>41</v>
      </c>
      <c r="H169" s="16" t="s">
        <v>16</v>
      </c>
      <c r="I169" s="18">
        <v>6.242</v>
      </c>
      <c r="J169" s="18">
        <v>7.7169999999999996</v>
      </c>
      <c r="K169" s="18">
        <v>11.54</v>
      </c>
      <c r="L169" s="18">
        <v>4.7750000000000004</v>
      </c>
      <c r="M169" s="16"/>
      <c r="N169" s="16">
        <v>100</v>
      </c>
      <c r="O169" s="16"/>
      <c r="P169" s="16">
        <v>60</v>
      </c>
      <c r="Q169" s="19">
        <v>745</v>
      </c>
      <c r="R169" s="19">
        <v>885</v>
      </c>
      <c r="S169" s="19">
        <v>1025</v>
      </c>
      <c r="T169" s="19">
        <v>1165</v>
      </c>
      <c r="U169" s="12"/>
    </row>
    <row r="170" spans="1:21" s="7" customFormat="1" x14ac:dyDescent="0.35">
      <c r="A170" s="7" t="s">
        <v>33</v>
      </c>
      <c r="B170" s="20">
        <v>7</v>
      </c>
      <c r="C170" s="16">
        <v>35</v>
      </c>
      <c r="D170" s="16">
        <v>0.498</v>
      </c>
      <c r="E170" s="16">
        <v>12.65</v>
      </c>
      <c r="F170" s="17">
        <v>5.8789999999999996</v>
      </c>
      <c r="G170" s="17"/>
      <c r="H170" s="16" t="s">
        <v>16</v>
      </c>
      <c r="I170" s="18">
        <v>6.1609999999999996</v>
      </c>
      <c r="J170" s="18">
        <v>7.7880000000000003</v>
      </c>
      <c r="K170" s="18">
        <v>11.54</v>
      </c>
      <c r="L170" s="18">
        <v>4.7750000000000004</v>
      </c>
      <c r="M170" s="16"/>
      <c r="N170" s="16">
        <v>100</v>
      </c>
      <c r="O170" s="16"/>
      <c r="P170" s="16">
        <v>60</v>
      </c>
      <c r="Q170" s="19">
        <v>814</v>
      </c>
      <c r="R170" s="19">
        <v>966</v>
      </c>
      <c r="S170" s="19">
        <v>1119</v>
      </c>
      <c r="T170" s="19">
        <v>1272</v>
      </c>
      <c r="U170" s="12"/>
    </row>
    <row r="171" spans="1:21" s="7" customFormat="1" x14ac:dyDescent="0.35">
      <c r="A171" s="7" t="s">
        <v>33</v>
      </c>
      <c r="B171" s="20">
        <v>7</v>
      </c>
      <c r="C171" s="16">
        <v>38</v>
      </c>
      <c r="D171" s="16">
        <v>0.54</v>
      </c>
      <c r="E171" s="16">
        <v>13.72</v>
      </c>
      <c r="F171" s="17">
        <v>5.7949999999999999</v>
      </c>
      <c r="G171" s="17"/>
      <c r="H171" s="16" t="s">
        <v>16</v>
      </c>
      <c r="I171" s="18">
        <v>6.0860000000000003</v>
      </c>
      <c r="J171" s="18">
        <v>7.8529999999999998</v>
      </c>
      <c r="K171" s="18">
        <v>11.54</v>
      </c>
      <c r="L171" s="18">
        <v>4.7750000000000004</v>
      </c>
      <c r="M171" s="16"/>
      <c r="N171" s="16">
        <v>100</v>
      </c>
      <c r="O171" s="16"/>
      <c r="P171" s="16">
        <v>60</v>
      </c>
      <c r="Q171" s="19">
        <v>877</v>
      </c>
      <c r="R171" s="19">
        <v>1041</v>
      </c>
      <c r="S171" s="19">
        <v>1205</v>
      </c>
      <c r="T171" s="19">
        <v>1370</v>
      </c>
      <c r="U171" s="12"/>
    </row>
    <row r="172" spans="1:21" s="7" customFormat="1" x14ac:dyDescent="0.35">
      <c r="A172" s="7" t="s">
        <v>33</v>
      </c>
      <c r="B172" s="20">
        <v>7</v>
      </c>
      <c r="C172" s="16">
        <v>41</v>
      </c>
      <c r="D172" s="16">
        <v>0.59</v>
      </c>
      <c r="E172" s="16">
        <v>14.99</v>
      </c>
      <c r="F172" s="17">
        <v>5.6950000000000003</v>
      </c>
      <c r="G172" s="17"/>
      <c r="H172" s="16" t="s">
        <v>16</v>
      </c>
      <c r="I172" s="18">
        <v>5.9960000000000004</v>
      </c>
      <c r="J172" s="18">
        <v>7.93</v>
      </c>
      <c r="K172" s="18">
        <v>11.54</v>
      </c>
      <c r="L172" s="18">
        <v>4.7750000000000004</v>
      </c>
      <c r="M172" s="16"/>
      <c r="N172" s="16">
        <v>100</v>
      </c>
      <c r="O172" s="16"/>
      <c r="P172" s="16">
        <v>60</v>
      </c>
      <c r="Q172" s="19">
        <v>950</v>
      </c>
      <c r="R172" s="19">
        <v>1129</v>
      </c>
      <c r="S172" s="19">
        <v>1307</v>
      </c>
      <c r="T172" s="19">
        <v>1485</v>
      </c>
      <c r="U172" s="12"/>
    </row>
    <row r="173" spans="1:21" s="7" customFormat="1" x14ac:dyDescent="0.35">
      <c r="A173" s="7" t="s">
        <v>33</v>
      </c>
      <c r="B173" s="20">
        <v>7</v>
      </c>
      <c r="C173" s="16">
        <v>42.7</v>
      </c>
      <c r="D173" s="16">
        <v>0.625</v>
      </c>
      <c r="E173" s="16">
        <v>15.88</v>
      </c>
      <c r="F173" s="17">
        <v>5.625</v>
      </c>
      <c r="G173" s="17"/>
      <c r="H173" s="16" t="s">
        <v>16</v>
      </c>
      <c r="I173" s="18">
        <v>5.9329999999999998</v>
      </c>
      <c r="J173" s="18">
        <v>7.9809999999999999</v>
      </c>
      <c r="K173" s="18">
        <v>11.54</v>
      </c>
      <c r="L173" s="18">
        <v>4.7750000000000004</v>
      </c>
      <c r="M173" s="16"/>
      <c r="N173" s="16">
        <v>100</v>
      </c>
      <c r="O173" s="16"/>
      <c r="P173" s="16">
        <v>60</v>
      </c>
      <c r="Q173" s="19">
        <v>1001</v>
      </c>
      <c r="R173" s="19">
        <v>1189</v>
      </c>
      <c r="S173" s="19">
        <v>1377</v>
      </c>
      <c r="T173" s="19">
        <v>1565</v>
      </c>
      <c r="U173" s="12"/>
    </row>
    <row r="174" spans="1:21" s="7" customFormat="1" x14ac:dyDescent="0.35">
      <c r="A174" s="7" t="s">
        <v>33</v>
      </c>
      <c r="B174" s="20">
        <f>7+5/8</f>
        <v>7.625</v>
      </c>
      <c r="C174" s="16">
        <v>26.4</v>
      </c>
      <c r="D174" s="16">
        <v>0.32800000000000001</v>
      </c>
      <c r="E174" s="16">
        <v>8.33</v>
      </c>
      <c r="F174" s="17">
        <v>6.8440000000000003</v>
      </c>
      <c r="G174" s="17"/>
      <c r="H174" s="16" t="s">
        <v>16</v>
      </c>
      <c r="I174" s="18">
        <v>6.9189999999999996</v>
      </c>
      <c r="J174" s="18">
        <v>8.1319999999999997</v>
      </c>
      <c r="K174" s="18">
        <v>11.73</v>
      </c>
      <c r="L174" s="18">
        <v>4.8680000000000003</v>
      </c>
      <c r="M174" s="16"/>
      <c r="N174" s="16">
        <v>100</v>
      </c>
      <c r="O174" s="16"/>
      <c r="P174" s="16">
        <v>60</v>
      </c>
      <c r="Q174" s="19">
        <v>602</v>
      </c>
      <c r="R174" s="19">
        <v>714</v>
      </c>
      <c r="S174" s="19">
        <v>827</v>
      </c>
      <c r="T174" s="19">
        <v>940</v>
      </c>
      <c r="U174" s="12"/>
    </row>
    <row r="175" spans="1:21" s="7" customFormat="1" x14ac:dyDescent="0.35">
      <c r="A175" s="7" t="s">
        <v>33</v>
      </c>
      <c r="B175" s="20">
        <f t="shared" ref="B175:B181" si="4">7+5/8</f>
        <v>7.625</v>
      </c>
      <c r="C175" s="16">
        <v>29.7</v>
      </c>
      <c r="D175" s="16">
        <v>0.375</v>
      </c>
      <c r="E175" s="16">
        <v>9.52</v>
      </c>
      <c r="F175" s="17">
        <v>6.75</v>
      </c>
      <c r="G175" s="17"/>
      <c r="H175" s="16" t="s">
        <v>16</v>
      </c>
      <c r="I175" s="18">
        <v>6.9189999999999996</v>
      </c>
      <c r="J175" s="18">
        <v>8.2129999999999992</v>
      </c>
      <c r="K175" s="18">
        <v>11.73</v>
      </c>
      <c r="L175" s="18">
        <v>4.8680000000000003</v>
      </c>
      <c r="M175" s="16"/>
      <c r="N175" s="16">
        <v>100</v>
      </c>
      <c r="O175" s="16"/>
      <c r="P175" s="16">
        <v>60</v>
      </c>
      <c r="Q175" s="19">
        <v>683</v>
      </c>
      <c r="R175" s="19">
        <v>811</v>
      </c>
      <c r="S175" s="19">
        <v>940</v>
      </c>
      <c r="T175" s="19">
        <v>1068</v>
      </c>
      <c r="U175" s="12"/>
    </row>
    <row r="176" spans="1:21" s="7" customFormat="1" x14ac:dyDescent="0.35">
      <c r="A176" s="7" t="s">
        <v>33</v>
      </c>
      <c r="B176" s="20">
        <f t="shared" si="4"/>
        <v>7.625</v>
      </c>
      <c r="C176" s="16">
        <v>33.700000000000003</v>
      </c>
      <c r="D176" s="16">
        <v>0.43</v>
      </c>
      <c r="E176" s="16">
        <v>10.92</v>
      </c>
      <c r="F176" s="17">
        <v>6.64</v>
      </c>
      <c r="G176" s="17"/>
      <c r="H176" s="16" t="s">
        <v>16</v>
      </c>
      <c r="I176" s="18">
        <v>6.9189999999999996</v>
      </c>
      <c r="J176" s="18">
        <v>8.3059999999999992</v>
      </c>
      <c r="K176" s="18">
        <v>11.73</v>
      </c>
      <c r="L176" s="18">
        <v>4.8680000000000003</v>
      </c>
      <c r="M176" s="16"/>
      <c r="N176" s="16">
        <v>100</v>
      </c>
      <c r="O176" s="16"/>
      <c r="P176" s="16">
        <v>60</v>
      </c>
      <c r="Q176" s="19">
        <v>778</v>
      </c>
      <c r="R176" s="19">
        <v>923</v>
      </c>
      <c r="S176" s="19">
        <v>1069</v>
      </c>
      <c r="T176" s="19">
        <v>1215</v>
      </c>
      <c r="U176" s="12"/>
    </row>
    <row r="177" spans="1:21" s="7" customFormat="1" x14ac:dyDescent="0.35">
      <c r="A177" s="7" t="s">
        <v>33</v>
      </c>
      <c r="B177" s="20">
        <f t="shared" si="4"/>
        <v>7.625</v>
      </c>
      <c r="C177" s="16">
        <v>35.799999999999997</v>
      </c>
      <c r="D177" s="16">
        <v>0.46500000000000002</v>
      </c>
      <c r="E177" s="16">
        <v>11.81</v>
      </c>
      <c r="F177" s="17">
        <v>6.57</v>
      </c>
      <c r="G177" s="17"/>
      <c r="H177" s="16" t="s">
        <v>16</v>
      </c>
      <c r="I177" s="18">
        <v>6.8559999999999999</v>
      </c>
      <c r="J177" s="18">
        <v>8.3629999999999995</v>
      </c>
      <c r="K177" s="18">
        <v>11.73</v>
      </c>
      <c r="L177" s="18">
        <v>4.8680000000000003</v>
      </c>
      <c r="M177" s="16"/>
      <c r="N177" s="16">
        <v>100</v>
      </c>
      <c r="O177" s="16"/>
      <c r="P177" s="16">
        <v>60</v>
      </c>
      <c r="Q177" s="19">
        <v>837</v>
      </c>
      <c r="R177" s="19">
        <v>994</v>
      </c>
      <c r="S177" s="19">
        <v>1151</v>
      </c>
      <c r="T177" s="19">
        <v>1308</v>
      </c>
      <c r="U177" s="12"/>
    </row>
    <row r="178" spans="1:21" s="7" customFormat="1" x14ac:dyDescent="0.35">
      <c r="A178" s="7" t="s">
        <v>33</v>
      </c>
      <c r="B178" s="20">
        <f t="shared" si="4"/>
        <v>7.625</v>
      </c>
      <c r="C178" s="16">
        <v>39</v>
      </c>
      <c r="D178" s="16">
        <v>0.5</v>
      </c>
      <c r="E178" s="16">
        <v>12.7</v>
      </c>
      <c r="F178" s="17">
        <v>6.5</v>
      </c>
      <c r="G178" s="17"/>
      <c r="H178" s="16" t="s">
        <v>16</v>
      </c>
      <c r="I178" s="18">
        <v>6.7930000000000001</v>
      </c>
      <c r="J178" s="18">
        <v>8.42</v>
      </c>
      <c r="K178" s="18">
        <v>11.73</v>
      </c>
      <c r="L178" s="18">
        <v>4.8680000000000003</v>
      </c>
      <c r="M178" s="16"/>
      <c r="N178" s="16">
        <v>100</v>
      </c>
      <c r="O178" s="16"/>
      <c r="P178" s="16">
        <v>60</v>
      </c>
      <c r="Q178" s="19">
        <v>895</v>
      </c>
      <c r="R178" s="19">
        <v>1063</v>
      </c>
      <c r="S178" s="19">
        <v>1231</v>
      </c>
      <c r="T178" s="19">
        <v>1399</v>
      </c>
      <c r="U178" s="12"/>
    </row>
    <row r="179" spans="1:21" s="7" customFormat="1" x14ac:dyDescent="0.35">
      <c r="A179" s="7" t="s">
        <v>33</v>
      </c>
      <c r="B179" s="20">
        <f t="shared" si="4"/>
        <v>7.625</v>
      </c>
      <c r="C179" s="16">
        <v>42.8</v>
      </c>
      <c r="D179" s="16">
        <v>0.56200000000000006</v>
      </c>
      <c r="E179" s="16">
        <v>14.27</v>
      </c>
      <c r="F179" s="17">
        <v>6.3760000000000003</v>
      </c>
      <c r="G179" s="17"/>
      <c r="H179" s="16" t="s">
        <v>16</v>
      </c>
      <c r="I179" s="18">
        <v>6.6829999999999998</v>
      </c>
      <c r="J179" s="18">
        <v>8.5180000000000007</v>
      </c>
      <c r="K179" s="18">
        <v>11.73</v>
      </c>
      <c r="L179" s="18">
        <v>4.8680000000000003</v>
      </c>
      <c r="M179" s="16"/>
      <c r="N179" s="16">
        <v>100</v>
      </c>
      <c r="O179" s="16"/>
      <c r="P179" s="16">
        <v>60</v>
      </c>
      <c r="Q179" s="19">
        <v>998</v>
      </c>
      <c r="R179" s="19">
        <v>1185</v>
      </c>
      <c r="S179" s="19">
        <v>1372</v>
      </c>
      <c r="T179" s="19">
        <v>1559</v>
      </c>
      <c r="U179" s="12"/>
    </row>
    <row r="180" spans="1:21" s="7" customFormat="1" x14ac:dyDescent="0.35">
      <c r="A180" s="7" t="s">
        <v>33</v>
      </c>
      <c r="B180" s="20">
        <f t="shared" si="4"/>
        <v>7.625</v>
      </c>
      <c r="C180" s="16">
        <v>45.3</v>
      </c>
      <c r="D180" s="16">
        <v>0.59499999999999997</v>
      </c>
      <c r="E180" s="16">
        <v>15.11</v>
      </c>
      <c r="F180" s="17">
        <v>6.31</v>
      </c>
      <c r="G180" s="17"/>
      <c r="H180" s="16" t="s">
        <v>16</v>
      </c>
      <c r="I180" s="18">
        <v>6.6219999999999999</v>
      </c>
      <c r="J180" s="18">
        <v>8.5690000000000008</v>
      </c>
      <c r="K180" s="18">
        <v>11.73</v>
      </c>
      <c r="L180" s="18">
        <v>4.8680000000000003</v>
      </c>
      <c r="M180" s="16"/>
      <c r="N180" s="16">
        <v>100</v>
      </c>
      <c r="O180" s="16"/>
      <c r="P180" s="16">
        <v>60</v>
      </c>
      <c r="Q180" s="19">
        <v>1051</v>
      </c>
      <c r="R180" s="19">
        <v>1248</v>
      </c>
      <c r="S180" s="19">
        <v>1446</v>
      </c>
      <c r="T180" s="19">
        <v>1643</v>
      </c>
      <c r="U180" s="12"/>
    </row>
    <row r="181" spans="1:21" s="7" customFormat="1" x14ac:dyDescent="0.35">
      <c r="A181" s="7" t="s">
        <v>33</v>
      </c>
      <c r="B181" s="20">
        <f t="shared" si="4"/>
        <v>7.625</v>
      </c>
      <c r="C181" s="16">
        <v>47.1</v>
      </c>
      <c r="D181" s="16">
        <v>0.625</v>
      </c>
      <c r="E181" s="16">
        <v>15.88</v>
      </c>
      <c r="F181" s="17">
        <v>6.25</v>
      </c>
      <c r="G181" s="17"/>
      <c r="H181" s="16" t="s">
        <v>16</v>
      </c>
      <c r="I181" s="18">
        <v>6.5659999999999998</v>
      </c>
      <c r="J181" s="18">
        <v>8.6150000000000002</v>
      </c>
      <c r="K181" s="18">
        <v>11.73</v>
      </c>
      <c r="L181" s="18">
        <v>4.8680000000000003</v>
      </c>
      <c r="M181" s="16"/>
      <c r="N181" s="16">
        <v>100</v>
      </c>
      <c r="O181" s="16"/>
      <c r="P181" s="16">
        <v>60</v>
      </c>
      <c r="Q181" s="19">
        <v>1100</v>
      </c>
      <c r="R181" s="19">
        <v>1306</v>
      </c>
      <c r="S181" s="19">
        <v>1512</v>
      </c>
      <c r="T181" s="19">
        <v>1718</v>
      </c>
      <c r="U181" s="12"/>
    </row>
    <row r="182" spans="1:21" s="7" customFormat="1" x14ac:dyDescent="0.35">
      <c r="A182" s="7" t="s">
        <v>33</v>
      </c>
      <c r="B182" s="20">
        <v>7.75</v>
      </c>
      <c r="C182" s="16">
        <v>46.1</v>
      </c>
      <c r="D182" s="16">
        <v>0.59499999999999997</v>
      </c>
      <c r="E182" s="16">
        <v>15.11</v>
      </c>
      <c r="F182" s="17">
        <v>6.5</v>
      </c>
      <c r="G182" s="17" t="s">
        <v>41</v>
      </c>
      <c r="H182" s="16" t="s">
        <v>16</v>
      </c>
      <c r="I182" s="18">
        <v>6.75</v>
      </c>
      <c r="J182" s="18">
        <v>8.6929999999999996</v>
      </c>
      <c r="K182" s="18">
        <v>11.85</v>
      </c>
      <c r="L182" s="18">
        <v>4.915</v>
      </c>
      <c r="M182" s="16"/>
      <c r="N182" s="16">
        <v>100</v>
      </c>
      <c r="O182" s="16"/>
      <c r="P182" s="16">
        <v>60</v>
      </c>
      <c r="Q182" s="19">
        <v>1070</v>
      </c>
      <c r="R182" s="19">
        <v>1271</v>
      </c>
      <c r="S182" s="19">
        <v>1471</v>
      </c>
      <c r="T182" s="19">
        <v>1672</v>
      </c>
      <c r="U182" s="12"/>
    </row>
    <row r="183" spans="1:21" s="7" customFormat="1" x14ac:dyDescent="0.35">
      <c r="A183" s="7" t="s">
        <v>33</v>
      </c>
      <c r="B183" s="20">
        <f>8+5/8</f>
        <v>8.625</v>
      </c>
      <c r="C183" s="16">
        <v>36</v>
      </c>
      <c r="D183" s="16">
        <v>0.4</v>
      </c>
      <c r="E183" s="16">
        <v>10.16</v>
      </c>
      <c r="F183" s="17">
        <v>7.7</v>
      </c>
      <c r="G183" s="17"/>
      <c r="H183" s="16" t="s">
        <v>16</v>
      </c>
      <c r="I183" s="18">
        <v>7.98</v>
      </c>
      <c r="J183" s="18">
        <v>9.266</v>
      </c>
      <c r="K183" s="18">
        <v>13.19</v>
      </c>
      <c r="L183" s="18">
        <v>5.6029999999999998</v>
      </c>
      <c r="M183" s="16"/>
      <c r="N183" s="16">
        <v>100</v>
      </c>
      <c r="O183" s="16"/>
      <c r="P183" s="16">
        <v>60</v>
      </c>
      <c r="Q183" s="19">
        <v>827</v>
      </c>
      <c r="R183" s="19">
        <v>982</v>
      </c>
      <c r="S183" s="19">
        <v>1137</v>
      </c>
      <c r="T183" s="19">
        <v>1292</v>
      </c>
      <c r="U183" s="12"/>
    </row>
    <row r="184" spans="1:21" s="7" customFormat="1" x14ac:dyDescent="0.35">
      <c r="A184" s="7" t="s">
        <v>33</v>
      </c>
      <c r="B184" s="20">
        <f t="shared" ref="B184:B187" si="5">8+5/8</f>
        <v>8.625</v>
      </c>
      <c r="C184" s="16">
        <v>40</v>
      </c>
      <c r="D184" s="16">
        <v>0.45</v>
      </c>
      <c r="E184" s="16">
        <v>11.43</v>
      </c>
      <c r="F184" s="17">
        <v>7.625</v>
      </c>
      <c r="G184" s="17" t="s">
        <v>41</v>
      </c>
      <c r="H184" s="16" t="s">
        <v>16</v>
      </c>
      <c r="I184" s="18">
        <v>7.8890000000000002</v>
      </c>
      <c r="J184" s="18">
        <v>9.3510000000000009</v>
      </c>
      <c r="K184" s="18">
        <v>13.19</v>
      </c>
      <c r="L184" s="18">
        <v>5.6029999999999998</v>
      </c>
      <c r="M184" s="16"/>
      <c r="N184" s="16">
        <v>100</v>
      </c>
      <c r="O184" s="16"/>
      <c r="P184" s="16">
        <v>60</v>
      </c>
      <c r="Q184" s="19">
        <v>925</v>
      </c>
      <c r="R184" s="19">
        <v>1098</v>
      </c>
      <c r="S184" s="19">
        <v>1271</v>
      </c>
      <c r="T184" s="19">
        <v>1445</v>
      </c>
      <c r="U184" s="12"/>
    </row>
    <row r="185" spans="1:21" s="7" customFormat="1" x14ac:dyDescent="0.35">
      <c r="A185" s="7" t="s">
        <v>33</v>
      </c>
      <c r="B185" s="20">
        <f t="shared" si="5"/>
        <v>8.625</v>
      </c>
      <c r="C185" s="16">
        <v>44</v>
      </c>
      <c r="D185" s="16">
        <v>0.5</v>
      </c>
      <c r="E185" s="16">
        <v>12.7</v>
      </c>
      <c r="F185" s="17">
        <v>7.5</v>
      </c>
      <c r="G185" s="17"/>
      <c r="H185" s="16" t="s">
        <v>16</v>
      </c>
      <c r="I185" s="18">
        <v>7.7990000000000004</v>
      </c>
      <c r="J185" s="18">
        <v>9.4339999999999993</v>
      </c>
      <c r="K185" s="18">
        <v>13.19</v>
      </c>
      <c r="L185" s="18">
        <v>5.6029999999999998</v>
      </c>
      <c r="M185" s="16"/>
      <c r="N185" s="16">
        <v>100</v>
      </c>
      <c r="O185" s="16"/>
      <c r="P185" s="16">
        <v>60</v>
      </c>
      <c r="Q185" s="19">
        <v>1021</v>
      </c>
      <c r="R185" s="19">
        <v>1212</v>
      </c>
      <c r="S185" s="19">
        <v>1404</v>
      </c>
      <c r="T185" s="19">
        <v>1595</v>
      </c>
      <c r="U185" s="12"/>
    </row>
    <row r="186" spans="1:21" s="7" customFormat="1" x14ac:dyDescent="0.35">
      <c r="A186" s="7" t="s">
        <v>33</v>
      </c>
      <c r="B186" s="20">
        <f t="shared" si="5"/>
        <v>8.625</v>
      </c>
      <c r="C186" s="16">
        <v>49</v>
      </c>
      <c r="D186" s="16">
        <v>0.55700000000000005</v>
      </c>
      <c r="E186" s="16">
        <v>14.15</v>
      </c>
      <c r="F186" s="17">
        <v>7.3860000000000001</v>
      </c>
      <c r="G186" s="17"/>
      <c r="H186" s="16" t="s">
        <v>16</v>
      </c>
      <c r="I186" s="18">
        <v>7.6959999999999997</v>
      </c>
      <c r="J186" s="18">
        <v>9.5259999999999998</v>
      </c>
      <c r="K186" s="18">
        <v>13.19</v>
      </c>
      <c r="L186" s="18">
        <v>5.6029999999999998</v>
      </c>
      <c r="M186" s="16"/>
      <c r="N186" s="16">
        <v>100</v>
      </c>
      <c r="O186" s="16"/>
      <c r="P186" s="16">
        <v>60</v>
      </c>
      <c r="Q186" s="19">
        <v>1129</v>
      </c>
      <c r="R186" s="19">
        <v>1341</v>
      </c>
      <c r="S186" s="19">
        <v>1553</v>
      </c>
      <c r="T186" s="19">
        <v>1765</v>
      </c>
      <c r="U186" s="12"/>
    </row>
    <row r="187" spans="1:21" s="7" customFormat="1" x14ac:dyDescent="0.35">
      <c r="A187" s="7" t="s">
        <v>33</v>
      </c>
      <c r="B187" s="20">
        <f t="shared" si="5"/>
        <v>8.625</v>
      </c>
      <c r="C187" s="16">
        <v>52</v>
      </c>
      <c r="D187" s="16">
        <v>0.59499999999999997</v>
      </c>
      <c r="E187" s="16">
        <v>15.11</v>
      </c>
      <c r="F187" s="17">
        <v>7.31</v>
      </c>
      <c r="G187" s="17"/>
      <c r="H187" s="16" t="s">
        <v>16</v>
      </c>
      <c r="I187" s="18">
        <v>7.6289999999999996</v>
      </c>
      <c r="J187" s="18">
        <v>9.5869999999999997</v>
      </c>
      <c r="K187" s="18">
        <v>13.19</v>
      </c>
      <c r="L187" s="18">
        <v>5.6029999999999998</v>
      </c>
      <c r="M187" s="16"/>
      <c r="N187" s="16">
        <v>100</v>
      </c>
      <c r="O187" s="16"/>
      <c r="P187" s="16">
        <v>60</v>
      </c>
      <c r="Q187" s="19">
        <v>1201</v>
      </c>
      <c r="R187" s="19">
        <v>1426</v>
      </c>
      <c r="S187" s="19">
        <v>1651</v>
      </c>
      <c r="T187" s="19">
        <v>1876</v>
      </c>
      <c r="U187" s="12"/>
    </row>
    <row r="188" spans="1:21" s="7" customFormat="1" x14ac:dyDescent="0.35">
      <c r="A188" s="7" t="s">
        <v>33</v>
      </c>
      <c r="B188" s="20">
        <f>9+5/8</f>
        <v>9.625</v>
      </c>
      <c r="C188" s="16">
        <v>36</v>
      </c>
      <c r="D188" s="16">
        <v>0.35199999999999998</v>
      </c>
      <c r="E188" s="16">
        <v>8.94</v>
      </c>
      <c r="F188" s="17">
        <v>8.7650000000000006</v>
      </c>
      <c r="G188" s="17"/>
      <c r="H188" s="16" t="s">
        <v>16</v>
      </c>
      <c r="I188" s="18">
        <v>8.9979999999999993</v>
      </c>
      <c r="J188" s="18">
        <v>10.188000000000001</v>
      </c>
      <c r="K188" s="18">
        <v>13.19</v>
      </c>
      <c r="L188" s="18">
        <v>5.5890000000000004</v>
      </c>
      <c r="M188" s="16"/>
      <c r="N188" s="16">
        <v>100</v>
      </c>
      <c r="O188" s="16"/>
      <c r="P188" s="16">
        <v>60</v>
      </c>
      <c r="Q188" s="19">
        <v>820</v>
      </c>
      <c r="R188" s="19">
        <v>974</v>
      </c>
      <c r="S188" s="19">
        <v>1128</v>
      </c>
      <c r="T188" s="19">
        <v>1282</v>
      </c>
      <c r="U188" s="12"/>
    </row>
    <row r="189" spans="1:21" s="7" customFormat="1" x14ac:dyDescent="0.35">
      <c r="A189" s="7" t="s">
        <v>33</v>
      </c>
      <c r="B189" s="20">
        <f t="shared" ref="B189:B196" si="6">9+5/8</f>
        <v>9.625</v>
      </c>
      <c r="C189" s="16">
        <v>40</v>
      </c>
      <c r="D189" s="16">
        <v>0.39500000000000002</v>
      </c>
      <c r="E189" s="16">
        <v>10.029999999999999</v>
      </c>
      <c r="F189" s="17">
        <v>8.75</v>
      </c>
      <c r="G189" s="17" t="s">
        <v>41</v>
      </c>
      <c r="H189" s="16" t="s">
        <v>16</v>
      </c>
      <c r="I189" s="18">
        <v>8.9979999999999993</v>
      </c>
      <c r="J189" s="18">
        <v>10.263999999999999</v>
      </c>
      <c r="K189" s="18">
        <v>13.19</v>
      </c>
      <c r="L189" s="18">
        <v>5.5890000000000004</v>
      </c>
      <c r="M189" s="16"/>
      <c r="N189" s="16">
        <v>100</v>
      </c>
      <c r="O189" s="16"/>
      <c r="P189" s="16">
        <v>60</v>
      </c>
      <c r="Q189" s="19">
        <v>916</v>
      </c>
      <c r="R189" s="19">
        <v>1088</v>
      </c>
      <c r="S189" s="19">
        <v>1260</v>
      </c>
      <c r="T189" s="19">
        <v>1432</v>
      </c>
      <c r="U189" s="12"/>
    </row>
    <row r="190" spans="1:21" s="7" customFormat="1" x14ac:dyDescent="0.35">
      <c r="A190" s="7" t="s">
        <v>33</v>
      </c>
      <c r="B190" s="20">
        <f t="shared" si="6"/>
        <v>9.625</v>
      </c>
      <c r="C190" s="16">
        <v>43.5</v>
      </c>
      <c r="D190" s="16">
        <v>0.435</v>
      </c>
      <c r="E190" s="16">
        <v>11.05</v>
      </c>
      <c r="F190" s="17">
        <v>8.5990000000000002</v>
      </c>
      <c r="G190" s="17"/>
      <c r="H190" s="16" t="s">
        <v>27</v>
      </c>
      <c r="I190" s="18">
        <v>8.7650000000000006</v>
      </c>
      <c r="J190" s="18">
        <v>10.333</v>
      </c>
      <c r="K190" s="18">
        <v>13.19</v>
      </c>
      <c r="L190" s="18">
        <v>5.5890000000000004</v>
      </c>
      <c r="M190" s="16"/>
      <c r="N190" s="16">
        <v>100</v>
      </c>
      <c r="O190" s="16"/>
      <c r="P190" s="16">
        <v>80</v>
      </c>
      <c r="Q190" s="19">
        <v>1005</v>
      </c>
      <c r="R190" s="19">
        <v>1193</v>
      </c>
      <c r="S190" s="19">
        <v>1381</v>
      </c>
      <c r="T190" s="19">
        <v>1570</v>
      </c>
      <c r="U190" s="12"/>
    </row>
    <row r="191" spans="1:21" s="7" customFormat="1" x14ac:dyDescent="0.35">
      <c r="A191" s="7" t="s">
        <v>33</v>
      </c>
      <c r="B191" s="20">
        <f t="shared" si="6"/>
        <v>9.625</v>
      </c>
      <c r="C191" s="16">
        <v>43.5</v>
      </c>
      <c r="D191" s="16">
        <v>0.435</v>
      </c>
      <c r="E191" s="16">
        <v>11.05</v>
      </c>
      <c r="F191" s="17">
        <v>8.5990000000000002</v>
      </c>
      <c r="G191" s="17"/>
      <c r="H191" s="16" t="s">
        <v>16</v>
      </c>
      <c r="I191" s="18">
        <v>8.9250000000000007</v>
      </c>
      <c r="J191" s="18">
        <v>10.333</v>
      </c>
      <c r="K191" s="18">
        <v>13.19</v>
      </c>
      <c r="L191" s="18">
        <v>5.5890000000000004</v>
      </c>
      <c r="M191" s="16"/>
      <c r="N191" s="16">
        <v>0</v>
      </c>
      <c r="O191" s="16"/>
      <c r="P191" s="16">
        <v>60</v>
      </c>
      <c r="Q191" s="19">
        <v>1005</v>
      </c>
      <c r="R191" s="19">
        <v>1193</v>
      </c>
      <c r="S191" s="19">
        <v>1381</v>
      </c>
      <c r="T191" s="19">
        <v>1570</v>
      </c>
      <c r="U191" s="12"/>
    </row>
    <row r="192" spans="1:21" s="7" customFormat="1" x14ac:dyDescent="0.35">
      <c r="A192" s="7" t="s">
        <v>33</v>
      </c>
      <c r="B192" s="20">
        <f t="shared" si="6"/>
        <v>9.625</v>
      </c>
      <c r="C192" s="16">
        <v>47</v>
      </c>
      <c r="D192" s="16">
        <v>0.47199999999999998</v>
      </c>
      <c r="E192" s="16">
        <v>11.99</v>
      </c>
      <c r="F192" s="17">
        <v>8.5250000000000004</v>
      </c>
      <c r="G192" s="17"/>
      <c r="H192" s="16" t="s">
        <v>27</v>
      </c>
      <c r="I192" s="18">
        <v>8.69</v>
      </c>
      <c r="J192" s="18">
        <v>10.396000000000001</v>
      </c>
      <c r="K192" s="18">
        <v>13.19</v>
      </c>
      <c r="L192" s="18">
        <v>5.5890000000000004</v>
      </c>
      <c r="M192" s="16"/>
      <c r="N192" s="16">
        <v>100</v>
      </c>
      <c r="O192" s="16"/>
      <c r="P192" s="16">
        <v>80</v>
      </c>
      <c r="Q192" s="19">
        <v>1086</v>
      </c>
      <c r="R192" s="19">
        <v>1289</v>
      </c>
      <c r="S192" s="19">
        <v>1493</v>
      </c>
      <c r="T192" s="19">
        <v>1697</v>
      </c>
      <c r="U192" s="12"/>
    </row>
    <row r="193" spans="1:21" s="7" customFormat="1" x14ac:dyDescent="0.35">
      <c r="A193" s="7" t="s">
        <v>33</v>
      </c>
      <c r="B193" s="20">
        <f t="shared" si="6"/>
        <v>9.625</v>
      </c>
      <c r="C193" s="16">
        <v>47</v>
      </c>
      <c r="D193" s="16">
        <v>0.47199999999999998</v>
      </c>
      <c r="E193" s="16">
        <v>11.99</v>
      </c>
      <c r="F193" s="17">
        <v>8.5250000000000004</v>
      </c>
      <c r="G193" s="17"/>
      <c r="H193" s="16" t="s">
        <v>16</v>
      </c>
      <c r="I193" s="18">
        <v>8.8580000000000005</v>
      </c>
      <c r="J193" s="18">
        <v>10.396000000000001</v>
      </c>
      <c r="K193" s="18">
        <v>13.19</v>
      </c>
      <c r="L193" s="18">
        <v>5.5890000000000004</v>
      </c>
      <c r="M193" s="16"/>
      <c r="N193" s="16">
        <v>100</v>
      </c>
      <c r="O193" s="16"/>
      <c r="P193" s="16">
        <v>60</v>
      </c>
      <c r="Q193" s="19">
        <v>1086</v>
      </c>
      <c r="R193" s="19">
        <v>1289</v>
      </c>
      <c r="S193" s="19">
        <v>1493</v>
      </c>
      <c r="T193" s="19">
        <v>1697</v>
      </c>
      <c r="U193" s="12"/>
    </row>
    <row r="194" spans="1:21" s="7" customFormat="1" x14ac:dyDescent="0.35">
      <c r="A194" s="7" t="s">
        <v>33</v>
      </c>
      <c r="B194" s="20">
        <f t="shared" si="6"/>
        <v>9.625</v>
      </c>
      <c r="C194" s="16">
        <v>53.5</v>
      </c>
      <c r="D194" s="16">
        <v>0.54500000000000004</v>
      </c>
      <c r="E194" s="16">
        <v>13.84</v>
      </c>
      <c r="F194" s="17">
        <v>8.5</v>
      </c>
      <c r="G194" s="17" t="s">
        <v>41</v>
      </c>
      <c r="H194" s="16" t="s">
        <v>27</v>
      </c>
      <c r="I194" s="18">
        <v>8.5449999999999999</v>
      </c>
      <c r="J194" s="18">
        <v>10.52</v>
      </c>
      <c r="K194" s="18">
        <v>13.19</v>
      </c>
      <c r="L194" s="18">
        <v>5.5890000000000004</v>
      </c>
      <c r="M194" s="16"/>
      <c r="N194" s="16">
        <v>100</v>
      </c>
      <c r="O194" s="16"/>
      <c r="P194" s="16">
        <v>80</v>
      </c>
      <c r="Q194" s="19">
        <v>1244</v>
      </c>
      <c r="R194" s="19">
        <v>1477</v>
      </c>
      <c r="S194" s="19">
        <v>1710</v>
      </c>
      <c r="T194" s="19">
        <v>1943</v>
      </c>
      <c r="U194" s="12"/>
    </row>
    <row r="195" spans="1:21" s="7" customFormat="1" x14ac:dyDescent="0.35">
      <c r="A195" s="7" t="s">
        <v>33</v>
      </c>
      <c r="B195" s="20">
        <f t="shared" si="6"/>
        <v>9.625</v>
      </c>
      <c r="C195" s="16">
        <v>53.5</v>
      </c>
      <c r="D195" s="16">
        <v>0.54500000000000004</v>
      </c>
      <c r="E195" s="16">
        <v>13.84</v>
      </c>
      <c r="F195" s="17">
        <v>8.5</v>
      </c>
      <c r="G195" s="17" t="s">
        <v>41</v>
      </c>
      <c r="H195" s="16" t="s">
        <v>16</v>
      </c>
      <c r="I195" s="18">
        <v>8.7260000000000009</v>
      </c>
      <c r="J195" s="18">
        <v>10.52</v>
      </c>
      <c r="K195" s="18">
        <v>13.19</v>
      </c>
      <c r="L195" s="18">
        <v>5.5890000000000004</v>
      </c>
      <c r="M195" s="16"/>
      <c r="N195" s="16">
        <v>100</v>
      </c>
      <c r="O195" s="16"/>
      <c r="P195" s="16">
        <v>60</v>
      </c>
      <c r="Q195" s="19">
        <v>1244</v>
      </c>
      <c r="R195" s="19">
        <v>1477</v>
      </c>
      <c r="S195" s="19">
        <v>1710</v>
      </c>
      <c r="T195" s="19">
        <v>1943</v>
      </c>
      <c r="U195" s="12"/>
    </row>
    <row r="196" spans="1:21" s="7" customFormat="1" x14ac:dyDescent="0.35">
      <c r="A196" s="7" t="s">
        <v>33</v>
      </c>
      <c r="B196" s="20">
        <f t="shared" si="6"/>
        <v>9.625</v>
      </c>
      <c r="C196" s="16">
        <v>58.4</v>
      </c>
      <c r="D196" s="16">
        <v>0.59499999999999997</v>
      </c>
      <c r="E196" s="16">
        <v>15.11</v>
      </c>
      <c r="F196" s="17">
        <v>8.375</v>
      </c>
      <c r="G196" s="17" t="s">
        <v>41</v>
      </c>
      <c r="H196" s="16" t="s">
        <v>16</v>
      </c>
      <c r="I196" s="18">
        <v>8.6370000000000005</v>
      </c>
      <c r="J196" s="18">
        <v>10.601000000000001</v>
      </c>
      <c r="K196" s="18">
        <v>13.19</v>
      </c>
      <c r="L196" s="18">
        <v>5.5890000000000004</v>
      </c>
      <c r="M196" s="16"/>
      <c r="N196" s="16">
        <v>100</v>
      </c>
      <c r="O196" s="16"/>
      <c r="P196" s="16">
        <v>60</v>
      </c>
      <c r="Q196" s="19">
        <v>1350</v>
      </c>
      <c r="R196" s="19">
        <v>1604</v>
      </c>
      <c r="S196" s="19">
        <v>1857</v>
      </c>
      <c r="T196" s="19">
        <v>2110</v>
      </c>
      <c r="U196" s="12"/>
    </row>
    <row r="197" spans="1:21" s="7" customFormat="1" x14ac:dyDescent="0.35">
      <c r="A197" s="7" t="s">
        <v>33</v>
      </c>
      <c r="B197" s="20">
        <f>9+7/8</f>
        <v>9.875</v>
      </c>
      <c r="C197" s="16">
        <v>62.8</v>
      </c>
      <c r="D197" s="16">
        <v>0.625</v>
      </c>
      <c r="E197" s="16">
        <v>15.88</v>
      </c>
      <c r="F197" s="17">
        <v>8.5</v>
      </c>
      <c r="G197" s="17" t="s">
        <v>42</v>
      </c>
      <c r="H197" s="16" t="s">
        <v>16</v>
      </c>
      <c r="I197" s="18">
        <v>8.8339999999999996</v>
      </c>
      <c r="J197" s="18">
        <v>10.907999999999999</v>
      </c>
      <c r="K197" s="18">
        <v>12.95</v>
      </c>
      <c r="L197" s="18">
        <v>5.484</v>
      </c>
      <c r="M197" s="16"/>
      <c r="N197" s="16">
        <v>100</v>
      </c>
      <c r="O197" s="16"/>
      <c r="P197" s="16">
        <v>60</v>
      </c>
      <c r="Q197" s="19"/>
      <c r="R197" s="19"/>
      <c r="S197" s="19">
        <v>1998</v>
      </c>
      <c r="T197" s="19">
        <v>2270</v>
      </c>
      <c r="U197" s="12"/>
    </row>
    <row r="198" spans="1:21" s="7" customFormat="1" x14ac:dyDescent="0.35">
      <c r="A198" s="7" t="s">
        <v>33</v>
      </c>
      <c r="B198" s="20">
        <f t="shared" ref="B198:B199" si="7">9+7/8</f>
        <v>9.875</v>
      </c>
      <c r="C198" s="16">
        <v>68.900000000000006</v>
      </c>
      <c r="D198" s="16">
        <v>0.7</v>
      </c>
      <c r="E198" s="16">
        <v>17.78</v>
      </c>
      <c r="F198" s="17">
        <v>8.3190000000000008</v>
      </c>
      <c r="G198" s="17"/>
      <c r="H198" s="16" t="s">
        <v>16</v>
      </c>
      <c r="I198" s="18">
        <v>8.6999999999999993</v>
      </c>
      <c r="J198" s="18">
        <v>11.028</v>
      </c>
      <c r="K198" s="18">
        <v>12.95</v>
      </c>
      <c r="L198" s="18">
        <v>5.484</v>
      </c>
      <c r="M198" s="16"/>
      <c r="N198" s="16">
        <v>100</v>
      </c>
      <c r="O198" s="16"/>
      <c r="P198" s="16">
        <v>60</v>
      </c>
      <c r="Q198" s="19">
        <v>1614</v>
      </c>
      <c r="R198" s="19">
        <v>1917</v>
      </c>
      <c r="S198" s="19">
        <v>2219</v>
      </c>
      <c r="T198" s="19">
        <v>2522</v>
      </c>
      <c r="U198" s="12"/>
    </row>
    <row r="199" spans="1:21" s="7" customFormat="1" x14ac:dyDescent="0.35">
      <c r="A199" s="7" t="s">
        <v>33</v>
      </c>
      <c r="B199" s="20">
        <f t="shared" si="7"/>
        <v>9.875</v>
      </c>
      <c r="C199" s="16">
        <v>70.5</v>
      </c>
      <c r="D199" s="16">
        <v>0.72</v>
      </c>
      <c r="E199" s="16">
        <v>18.29</v>
      </c>
      <c r="F199" s="17">
        <v>8.2789999999999999</v>
      </c>
      <c r="G199" s="17"/>
      <c r="H199" s="16" t="s">
        <v>16</v>
      </c>
      <c r="I199" s="18">
        <v>8.6630000000000003</v>
      </c>
      <c r="J199" s="18">
        <v>11.06</v>
      </c>
      <c r="K199" s="18">
        <v>12.95</v>
      </c>
      <c r="L199" s="18">
        <v>5.484</v>
      </c>
      <c r="M199" s="16"/>
      <c r="N199" s="16">
        <v>100</v>
      </c>
      <c r="O199" s="16"/>
      <c r="P199" s="16">
        <v>60</v>
      </c>
      <c r="Q199" s="19">
        <v>1657</v>
      </c>
      <c r="R199" s="19">
        <v>1967</v>
      </c>
      <c r="S199" s="19">
        <v>2278</v>
      </c>
      <c r="T199" s="19">
        <v>2589</v>
      </c>
      <c r="U199" s="12"/>
    </row>
    <row r="200" spans="1:21" s="7" customFormat="1" x14ac:dyDescent="0.35">
      <c r="A200" s="7" t="s">
        <v>33</v>
      </c>
      <c r="B200" s="20">
        <f>9+7/8</f>
        <v>9.875</v>
      </c>
      <c r="C200" s="16">
        <v>72</v>
      </c>
      <c r="D200" s="16">
        <v>0.72499999999999998</v>
      </c>
      <c r="E200" s="16">
        <v>18.41</v>
      </c>
      <c r="F200" s="17">
        <v>8.2690000000000001</v>
      </c>
      <c r="G200" s="17"/>
      <c r="H200" s="16" t="s">
        <v>16</v>
      </c>
      <c r="I200" s="18">
        <v>8.6549999999999994</v>
      </c>
      <c r="J200" s="18">
        <v>11.067</v>
      </c>
      <c r="K200" s="18">
        <v>12.95</v>
      </c>
      <c r="L200" s="18">
        <v>5.484</v>
      </c>
      <c r="M200" s="16"/>
      <c r="N200" s="16">
        <v>100</v>
      </c>
      <c r="O200" s="16"/>
      <c r="P200" s="16">
        <v>60</v>
      </c>
      <c r="Q200" s="19">
        <v>1667</v>
      </c>
      <c r="R200" s="19">
        <v>1980</v>
      </c>
      <c r="S200" s="19">
        <v>2293</v>
      </c>
      <c r="T200" s="19">
        <v>2605</v>
      </c>
      <c r="U200" s="12"/>
    </row>
    <row r="201" spans="1:21" s="7" customFormat="1" x14ac:dyDescent="0.35">
      <c r="A201" s="7" t="s">
        <v>33</v>
      </c>
      <c r="B201" s="20">
        <v>10</v>
      </c>
      <c r="C201" s="16">
        <v>67.2</v>
      </c>
      <c r="D201" s="16">
        <v>0.67200000000000004</v>
      </c>
      <c r="E201" s="16">
        <v>17.07</v>
      </c>
      <c r="F201" s="17">
        <v>8.5</v>
      </c>
      <c r="G201" s="17"/>
      <c r="H201" s="16" t="s">
        <v>16</v>
      </c>
      <c r="I201" s="18">
        <v>8.8659999999999997</v>
      </c>
      <c r="J201" s="18">
        <v>11.117000000000001</v>
      </c>
      <c r="K201" s="18">
        <v>12.95</v>
      </c>
      <c r="L201" s="18">
        <v>5.484</v>
      </c>
      <c r="M201" s="16"/>
      <c r="N201" s="16">
        <v>100</v>
      </c>
      <c r="O201" s="16"/>
      <c r="P201" s="16">
        <v>60</v>
      </c>
      <c r="Q201" s="19">
        <v>1575</v>
      </c>
      <c r="R201" s="19">
        <v>1871</v>
      </c>
      <c r="S201" s="19">
        <v>2166</v>
      </c>
      <c r="T201" s="19">
        <v>2462</v>
      </c>
      <c r="U201" s="12"/>
    </row>
    <row r="202" spans="1:21" s="7" customFormat="1" x14ac:dyDescent="0.35">
      <c r="A202" s="7" t="s">
        <v>33</v>
      </c>
      <c r="B202" s="20">
        <v>10</v>
      </c>
      <c r="C202" s="16">
        <v>71.8</v>
      </c>
      <c r="D202" s="16">
        <v>0.72199999999999998</v>
      </c>
      <c r="E202" s="16">
        <v>18.34</v>
      </c>
      <c r="F202" s="17">
        <v>8.4</v>
      </c>
      <c r="G202" s="17"/>
      <c r="H202" s="16" t="s">
        <v>16</v>
      </c>
      <c r="I202" s="18">
        <v>8.7769999999999992</v>
      </c>
      <c r="J202" s="18">
        <v>11.195</v>
      </c>
      <c r="K202" s="18">
        <v>12.95</v>
      </c>
      <c r="L202" s="18">
        <v>5.484</v>
      </c>
      <c r="M202" s="16"/>
      <c r="N202" s="16">
        <v>100</v>
      </c>
      <c r="O202" s="16"/>
      <c r="P202" s="16">
        <v>60</v>
      </c>
      <c r="Q202" s="19">
        <v>1684</v>
      </c>
      <c r="R202" s="19">
        <v>1999</v>
      </c>
      <c r="S202" s="19">
        <v>2315</v>
      </c>
      <c r="T202" s="19">
        <v>2631</v>
      </c>
      <c r="U202" s="12"/>
    </row>
    <row r="203" spans="1:21" s="7" customFormat="1" x14ac:dyDescent="0.35">
      <c r="A203" s="7" t="s">
        <v>33</v>
      </c>
      <c r="B203" s="20">
        <v>10.75</v>
      </c>
      <c r="C203" s="16">
        <v>45.5</v>
      </c>
      <c r="D203" s="16">
        <v>0.4</v>
      </c>
      <c r="E203" s="16">
        <v>10.16</v>
      </c>
      <c r="F203" s="17">
        <v>9.875</v>
      </c>
      <c r="G203" s="17" t="s">
        <v>41</v>
      </c>
      <c r="H203" s="16" t="s">
        <v>16</v>
      </c>
      <c r="I203" s="18">
        <v>10.122</v>
      </c>
      <c r="J203" s="18">
        <v>11.4</v>
      </c>
      <c r="K203" s="18">
        <v>13.27</v>
      </c>
      <c r="L203" s="18">
        <v>5.6340000000000003</v>
      </c>
      <c r="M203" s="16"/>
      <c r="N203" s="16">
        <v>100</v>
      </c>
      <c r="O203" s="16"/>
      <c r="P203" s="16">
        <v>60</v>
      </c>
      <c r="Q203" s="19">
        <v>1040</v>
      </c>
      <c r="R203" s="19">
        <v>1236</v>
      </c>
      <c r="S203" s="19">
        <v>1431</v>
      </c>
      <c r="T203" s="19">
        <v>1626</v>
      </c>
      <c r="U203" s="12"/>
    </row>
    <row r="204" spans="1:21" s="7" customFormat="1" x14ac:dyDescent="0.35">
      <c r="A204" s="7" t="s">
        <v>33</v>
      </c>
      <c r="B204" s="20">
        <v>10.75</v>
      </c>
      <c r="C204" s="16">
        <v>51</v>
      </c>
      <c r="D204" s="16">
        <v>0.45</v>
      </c>
      <c r="E204" s="16">
        <v>11.43</v>
      </c>
      <c r="F204" s="17">
        <v>9.6940000000000008</v>
      </c>
      <c r="G204" s="17"/>
      <c r="H204" s="16" t="s">
        <v>16</v>
      </c>
      <c r="I204" s="18">
        <v>10.031000000000001</v>
      </c>
      <c r="J204" s="18">
        <v>11.489000000000001</v>
      </c>
      <c r="K204" s="18">
        <v>13.27</v>
      </c>
      <c r="L204" s="18">
        <v>5.6340000000000003</v>
      </c>
      <c r="M204" s="16"/>
      <c r="N204" s="16">
        <v>100</v>
      </c>
      <c r="O204" s="16"/>
      <c r="P204" s="16">
        <v>60</v>
      </c>
      <c r="Q204" s="19">
        <v>1165</v>
      </c>
      <c r="R204" s="19">
        <v>1383</v>
      </c>
      <c r="S204" s="19">
        <v>1602</v>
      </c>
      <c r="T204" s="19">
        <v>1820</v>
      </c>
      <c r="U204" s="12"/>
    </row>
    <row r="205" spans="1:21" s="7" customFormat="1" x14ac:dyDescent="0.35">
      <c r="A205" s="7" t="s">
        <v>33</v>
      </c>
      <c r="B205" s="20">
        <v>10.75</v>
      </c>
      <c r="C205" s="16">
        <v>55.5</v>
      </c>
      <c r="D205" s="16">
        <v>0.495</v>
      </c>
      <c r="E205" s="16">
        <v>12.57</v>
      </c>
      <c r="F205" s="17">
        <v>9.625</v>
      </c>
      <c r="G205" s="17" t="s">
        <v>41</v>
      </c>
      <c r="H205" s="16" t="s">
        <v>27</v>
      </c>
      <c r="I205" s="18">
        <v>9.7710000000000008</v>
      </c>
      <c r="J205" s="18">
        <v>11.565</v>
      </c>
      <c r="K205" s="18">
        <v>13.27</v>
      </c>
      <c r="L205" s="18">
        <v>5.6340000000000003</v>
      </c>
      <c r="M205" s="16"/>
      <c r="N205" s="16">
        <v>100</v>
      </c>
      <c r="O205" s="16"/>
      <c r="P205" s="16">
        <v>80</v>
      </c>
      <c r="Q205" s="19">
        <v>1276</v>
      </c>
      <c r="R205" s="19">
        <v>1515</v>
      </c>
      <c r="S205" s="19">
        <v>1754</v>
      </c>
      <c r="T205" s="19">
        <v>1993</v>
      </c>
      <c r="U205" s="12"/>
    </row>
    <row r="206" spans="1:21" s="7" customFormat="1" x14ac:dyDescent="0.35">
      <c r="A206" s="7" t="s">
        <v>33</v>
      </c>
      <c r="B206" s="20">
        <v>10.75</v>
      </c>
      <c r="C206" s="16">
        <v>55.5</v>
      </c>
      <c r="D206" s="16">
        <v>0.495</v>
      </c>
      <c r="E206" s="16">
        <v>12.57</v>
      </c>
      <c r="F206" s="17">
        <v>9.625</v>
      </c>
      <c r="G206" s="17" t="s">
        <v>41</v>
      </c>
      <c r="H206" s="16" t="s">
        <v>16</v>
      </c>
      <c r="I206" s="18">
        <v>9.9499999999999993</v>
      </c>
      <c r="J206" s="18">
        <v>11.565</v>
      </c>
      <c r="K206" s="18">
        <v>13.27</v>
      </c>
      <c r="L206" s="18">
        <v>5.6340000000000003</v>
      </c>
      <c r="M206" s="16"/>
      <c r="N206" s="16">
        <v>100</v>
      </c>
      <c r="O206" s="16"/>
      <c r="P206" s="16">
        <v>60</v>
      </c>
      <c r="Q206" s="19">
        <v>1276</v>
      </c>
      <c r="R206" s="19">
        <v>1515</v>
      </c>
      <c r="S206" s="19">
        <v>1754</v>
      </c>
      <c r="T206" s="19">
        <v>1993</v>
      </c>
      <c r="U206" s="12"/>
    </row>
    <row r="207" spans="1:21" s="7" customFormat="1" x14ac:dyDescent="0.35">
      <c r="A207" s="7" t="s">
        <v>33</v>
      </c>
      <c r="B207" s="20">
        <v>10.75</v>
      </c>
      <c r="C207" s="16">
        <v>60.7</v>
      </c>
      <c r="D207" s="16">
        <v>0.54500000000000004</v>
      </c>
      <c r="E207" s="16">
        <v>13.84</v>
      </c>
      <c r="F207" s="17">
        <v>9.5039999999999996</v>
      </c>
      <c r="G207" s="17"/>
      <c r="H207" s="16" t="s">
        <v>27</v>
      </c>
      <c r="I207" s="18">
        <v>9.6690000000000005</v>
      </c>
      <c r="J207" s="18">
        <v>11.651999999999999</v>
      </c>
      <c r="K207" s="18">
        <v>13.27</v>
      </c>
      <c r="L207" s="18">
        <v>5.6340000000000003</v>
      </c>
      <c r="M207" s="16"/>
      <c r="N207" s="16">
        <v>100</v>
      </c>
      <c r="O207" s="16"/>
      <c r="P207" s="16">
        <v>80</v>
      </c>
      <c r="Q207" s="19">
        <v>1398</v>
      </c>
      <c r="R207" s="19">
        <v>1660</v>
      </c>
      <c r="S207" s="19">
        <v>1922</v>
      </c>
      <c r="T207" s="19">
        <v>2184</v>
      </c>
      <c r="U207" s="12"/>
    </row>
    <row r="208" spans="1:21" s="7" customFormat="1" x14ac:dyDescent="0.35">
      <c r="A208" s="7" t="s">
        <v>33</v>
      </c>
      <c r="B208" s="20">
        <v>10.75</v>
      </c>
      <c r="C208" s="16">
        <v>60.7</v>
      </c>
      <c r="D208" s="16">
        <v>0.54500000000000004</v>
      </c>
      <c r="E208" s="16">
        <v>13.84</v>
      </c>
      <c r="F208" s="17">
        <v>9.5039999999999996</v>
      </c>
      <c r="G208" s="17"/>
      <c r="H208" s="16" t="s">
        <v>16</v>
      </c>
      <c r="I208" s="18">
        <v>9.8620000000000001</v>
      </c>
      <c r="J208" s="18">
        <v>11.651999999999999</v>
      </c>
      <c r="K208" s="18">
        <v>13.27</v>
      </c>
      <c r="L208" s="18">
        <v>5.6340000000000003</v>
      </c>
      <c r="M208" s="16"/>
      <c r="N208" s="16">
        <v>100</v>
      </c>
      <c r="O208" s="16"/>
      <c r="P208" s="16">
        <v>60</v>
      </c>
      <c r="Q208" s="19">
        <v>1398</v>
      </c>
      <c r="R208" s="19">
        <v>1660</v>
      </c>
      <c r="S208" s="19">
        <v>1922</v>
      </c>
      <c r="T208" s="19">
        <v>2184</v>
      </c>
      <c r="U208" s="12"/>
    </row>
    <row r="209" spans="1:21" s="7" customFormat="1" x14ac:dyDescent="0.35">
      <c r="A209" s="7" t="s">
        <v>33</v>
      </c>
      <c r="B209" s="20">
        <v>10.75</v>
      </c>
      <c r="C209" s="16">
        <v>65.7</v>
      </c>
      <c r="D209" s="16">
        <v>0.59499999999999997</v>
      </c>
      <c r="E209" s="16">
        <v>15.11</v>
      </c>
      <c r="F209" s="17">
        <v>9.5</v>
      </c>
      <c r="G209" s="17" t="s">
        <v>42</v>
      </c>
      <c r="H209" s="16" t="s">
        <v>27</v>
      </c>
      <c r="I209" s="18">
        <v>9.57</v>
      </c>
      <c r="J209" s="18">
        <v>11.734999999999999</v>
      </c>
      <c r="K209" s="18">
        <v>13.27</v>
      </c>
      <c r="L209" s="18">
        <v>5.6340000000000003</v>
      </c>
      <c r="M209" s="16"/>
      <c r="N209" s="16">
        <v>100</v>
      </c>
      <c r="O209" s="16"/>
      <c r="P209" s="16">
        <v>80</v>
      </c>
      <c r="Q209" s="19">
        <v>1519</v>
      </c>
      <c r="R209" s="19">
        <v>1803</v>
      </c>
      <c r="S209" s="19">
        <v>2088</v>
      </c>
      <c r="T209" s="19">
        <v>2373</v>
      </c>
      <c r="U209" s="12"/>
    </row>
    <row r="210" spans="1:21" s="7" customFormat="1" x14ac:dyDescent="0.35">
      <c r="A210" s="7" t="s">
        <v>33</v>
      </c>
      <c r="B210" s="20">
        <v>10.75</v>
      </c>
      <c r="C210" s="16">
        <v>65.7</v>
      </c>
      <c r="D210" s="16">
        <v>0.59499999999999997</v>
      </c>
      <c r="E210" s="16">
        <v>15.11</v>
      </c>
      <c r="F210" s="17">
        <v>9.4039999999999999</v>
      </c>
      <c r="G210" s="17"/>
      <c r="H210" s="16" t="s">
        <v>16</v>
      </c>
      <c r="I210" s="18">
        <v>9.7710000000000008</v>
      </c>
      <c r="J210" s="18">
        <v>11.734999999999999</v>
      </c>
      <c r="K210" s="18">
        <v>13.27</v>
      </c>
      <c r="L210" s="18">
        <v>5.6340000000000003</v>
      </c>
      <c r="M210" s="16"/>
      <c r="N210" s="16">
        <v>100</v>
      </c>
      <c r="O210" s="16"/>
      <c r="P210" s="16">
        <v>60</v>
      </c>
      <c r="Q210" s="19">
        <v>1519</v>
      </c>
      <c r="R210" s="19">
        <v>1803</v>
      </c>
      <c r="S210" s="19">
        <v>2088</v>
      </c>
      <c r="T210" s="19">
        <v>2373</v>
      </c>
      <c r="U210" s="12"/>
    </row>
    <row r="211" spans="1:21" s="7" customFormat="1" x14ac:dyDescent="0.35">
      <c r="A211" s="7" t="s">
        <v>33</v>
      </c>
      <c r="B211" s="20">
        <v>10.75</v>
      </c>
      <c r="C211" s="16">
        <v>71.099999999999994</v>
      </c>
      <c r="D211" s="16">
        <v>0.65</v>
      </c>
      <c r="E211" s="16">
        <v>16.510000000000002</v>
      </c>
      <c r="F211" s="17">
        <v>9.375</v>
      </c>
      <c r="G211" s="17" t="s">
        <v>42</v>
      </c>
      <c r="H211" s="16" t="s">
        <v>27</v>
      </c>
      <c r="I211" s="18">
        <v>9.4760000000000009</v>
      </c>
      <c r="J211" s="18">
        <v>11.824999999999999</v>
      </c>
      <c r="K211" s="18">
        <v>13.27</v>
      </c>
      <c r="L211" s="18">
        <v>5.6340000000000003</v>
      </c>
      <c r="M211" s="16"/>
      <c r="N211" s="16">
        <v>100</v>
      </c>
      <c r="O211" s="16"/>
      <c r="P211" s="16">
        <v>80</v>
      </c>
      <c r="Q211" s="19">
        <v>1650</v>
      </c>
      <c r="R211" s="19">
        <v>1959</v>
      </c>
      <c r="S211" s="19">
        <v>2269</v>
      </c>
      <c r="T211" s="19">
        <v>2578</v>
      </c>
      <c r="U211" s="12"/>
    </row>
    <row r="212" spans="1:21" s="7" customFormat="1" x14ac:dyDescent="0.35">
      <c r="A212" s="7" t="s">
        <v>33</v>
      </c>
      <c r="B212" s="20">
        <v>10.75</v>
      </c>
      <c r="C212" s="16">
        <v>71.099999999999994</v>
      </c>
      <c r="D212" s="16">
        <v>0.65</v>
      </c>
      <c r="E212" s="16">
        <v>16.510000000000002</v>
      </c>
      <c r="F212" s="17">
        <v>9.2940000000000005</v>
      </c>
      <c r="G212" s="17"/>
      <c r="H212" s="16" t="s">
        <v>16</v>
      </c>
      <c r="I212" s="18">
        <v>9.6709999999999994</v>
      </c>
      <c r="J212" s="18">
        <v>11.824999999999999</v>
      </c>
      <c r="K212" s="18">
        <v>13.27</v>
      </c>
      <c r="L212" s="18">
        <v>5.6340000000000003</v>
      </c>
      <c r="M212" s="16"/>
      <c r="N212" s="16">
        <v>100</v>
      </c>
      <c r="O212" s="16"/>
      <c r="P212" s="16">
        <v>60</v>
      </c>
      <c r="Q212" s="19">
        <v>1650</v>
      </c>
      <c r="R212" s="19">
        <v>1959</v>
      </c>
      <c r="S212" s="19">
        <v>2269</v>
      </c>
      <c r="T212" s="19">
        <v>2578</v>
      </c>
      <c r="U212" s="12"/>
    </row>
    <row r="213" spans="1:21" s="7" customFormat="1" x14ac:dyDescent="0.35">
      <c r="A213" s="7" t="s">
        <v>33</v>
      </c>
      <c r="B213" s="20">
        <v>10.75</v>
      </c>
      <c r="C213" s="16">
        <v>73.2</v>
      </c>
      <c r="D213" s="16">
        <v>0.67200000000000004</v>
      </c>
      <c r="E213" s="16">
        <v>17.07</v>
      </c>
      <c r="F213" s="17">
        <v>9.25</v>
      </c>
      <c r="G213" s="17"/>
      <c r="H213" s="16" t="s">
        <v>16</v>
      </c>
      <c r="I213" s="18">
        <v>9.6310000000000002</v>
      </c>
      <c r="J213" s="18">
        <v>11.863</v>
      </c>
      <c r="K213" s="18">
        <v>13.27</v>
      </c>
      <c r="L213" s="18">
        <v>5.6340000000000003</v>
      </c>
      <c r="M213" s="16"/>
      <c r="N213" s="16">
        <v>100</v>
      </c>
      <c r="O213" s="16"/>
      <c r="P213" s="16">
        <v>60</v>
      </c>
      <c r="Q213" s="19">
        <v>1702</v>
      </c>
      <c r="R213" s="19">
        <v>2021</v>
      </c>
      <c r="S213" s="19">
        <v>2340</v>
      </c>
      <c r="T213" s="19">
        <v>2660</v>
      </c>
      <c r="U213" s="12"/>
    </row>
    <row r="214" spans="1:21" s="7" customFormat="1" x14ac:dyDescent="0.35">
      <c r="A214" s="7" t="s">
        <v>33</v>
      </c>
      <c r="B214" s="20">
        <v>11.75</v>
      </c>
      <c r="C214" s="16">
        <v>54</v>
      </c>
      <c r="D214" s="16">
        <v>0.435</v>
      </c>
      <c r="E214" s="16">
        <v>11.05</v>
      </c>
      <c r="F214" s="17">
        <v>10.724</v>
      </c>
      <c r="G214" s="17"/>
      <c r="H214" s="16" t="s">
        <v>16</v>
      </c>
      <c r="I214" s="18">
        <v>11.066000000000001</v>
      </c>
      <c r="J214" s="18">
        <v>12.462999999999999</v>
      </c>
      <c r="K214" s="18">
        <v>13.43</v>
      </c>
      <c r="L214" s="18">
        <v>5.7119999999999997</v>
      </c>
      <c r="M214" s="16"/>
      <c r="N214" s="16">
        <v>100</v>
      </c>
      <c r="O214" s="16"/>
      <c r="P214" s="16">
        <v>60</v>
      </c>
      <c r="Q214" s="19">
        <v>1237</v>
      </c>
      <c r="R214" s="19">
        <v>1469</v>
      </c>
      <c r="S214" s="19">
        <v>1701</v>
      </c>
      <c r="T214" s="19">
        <v>1933</v>
      </c>
      <c r="U214" s="12"/>
    </row>
    <row r="215" spans="1:21" s="7" customFormat="1" x14ac:dyDescent="0.35">
      <c r="A215" s="7" t="s">
        <v>33</v>
      </c>
      <c r="B215" s="20">
        <v>11.75</v>
      </c>
      <c r="C215" s="16">
        <v>60</v>
      </c>
      <c r="D215" s="16">
        <v>0.48899999999999999</v>
      </c>
      <c r="E215" s="16">
        <v>12.42</v>
      </c>
      <c r="F215" s="17">
        <v>10.625</v>
      </c>
      <c r="G215" s="17" t="s">
        <v>41</v>
      </c>
      <c r="H215" s="16" t="s">
        <v>16</v>
      </c>
      <c r="I215" s="18">
        <v>10.97</v>
      </c>
      <c r="J215" s="18">
        <v>12.558</v>
      </c>
      <c r="K215" s="18">
        <v>13.43</v>
      </c>
      <c r="L215" s="18">
        <v>5.7119999999999997</v>
      </c>
      <c r="M215" s="16"/>
      <c r="N215" s="16">
        <v>100</v>
      </c>
      <c r="O215" s="16"/>
      <c r="P215" s="16">
        <v>60</v>
      </c>
      <c r="Q215" s="19">
        <v>1384</v>
      </c>
      <c r="R215" s="19">
        <v>1644</v>
      </c>
      <c r="S215" s="19">
        <v>1903</v>
      </c>
      <c r="T215" s="19">
        <v>2163</v>
      </c>
      <c r="U215" s="12"/>
    </row>
    <row r="216" spans="1:21" s="7" customFormat="1" x14ac:dyDescent="0.35">
      <c r="A216" s="7" t="s">
        <v>33</v>
      </c>
      <c r="B216" s="20">
        <v>11.75</v>
      </c>
      <c r="C216" s="16">
        <v>65</v>
      </c>
      <c r="D216" s="16">
        <v>0.53400000000000003</v>
      </c>
      <c r="E216" s="16">
        <v>13.56</v>
      </c>
      <c r="F216" s="17">
        <v>10.625</v>
      </c>
      <c r="G216" s="17" t="s">
        <v>41</v>
      </c>
      <c r="H216" s="16" t="s">
        <v>16</v>
      </c>
      <c r="I216" s="18">
        <v>10.888999999999999</v>
      </c>
      <c r="J216" s="18">
        <v>12.635999999999999</v>
      </c>
      <c r="K216" s="18">
        <v>13.43</v>
      </c>
      <c r="L216" s="18">
        <v>5.7119999999999997</v>
      </c>
      <c r="M216" s="16"/>
      <c r="N216" s="16">
        <v>100</v>
      </c>
      <c r="O216" s="16"/>
      <c r="P216" s="16">
        <v>60</v>
      </c>
      <c r="Q216" s="19">
        <v>1505</v>
      </c>
      <c r="R216" s="19">
        <v>1788</v>
      </c>
      <c r="S216" s="19">
        <v>2070</v>
      </c>
      <c r="T216" s="19">
        <v>2352</v>
      </c>
      <c r="U216" s="12"/>
    </row>
    <row r="217" spans="1:21" s="7" customFormat="1" x14ac:dyDescent="0.35">
      <c r="A217" s="7" t="s">
        <v>33</v>
      </c>
      <c r="B217" s="20">
        <v>11.75</v>
      </c>
      <c r="C217" s="16">
        <v>71</v>
      </c>
      <c r="D217" s="16">
        <v>0.58199999999999996</v>
      </c>
      <c r="E217" s="16">
        <v>14.78</v>
      </c>
      <c r="F217" s="17">
        <v>10.43</v>
      </c>
      <c r="G217" s="17"/>
      <c r="H217" s="16" t="s">
        <v>16</v>
      </c>
      <c r="I217" s="18">
        <v>10.803000000000001</v>
      </c>
      <c r="J217" s="18">
        <v>12.718999999999999</v>
      </c>
      <c r="K217" s="18">
        <v>13.43</v>
      </c>
      <c r="L217" s="18">
        <v>5.7119999999999997</v>
      </c>
      <c r="M217" s="16"/>
      <c r="N217" s="16">
        <v>100</v>
      </c>
      <c r="O217" s="16"/>
      <c r="P217" s="16">
        <v>60</v>
      </c>
      <c r="Q217" s="19">
        <v>1634</v>
      </c>
      <c r="R217" s="19">
        <v>1940</v>
      </c>
      <c r="S217" s="19">
        <v>2246</v>
      </c>
      <c r="T217" s="19">
        <v>2553</v>
      </c>
      <c r="U217" s="12"/>
    </row>
    <row r="218" spans="1:21" s="7" customFormat="1" x14ac:dyDescent="0.35">
      <c r="A218" s="7" t="s">
        <v>33</v>
      </c>
      <c r="B218" s="20">
        <f>11+7/8</f>
        <v>11.875</v>
      </c>
      <c r="C218" s="16">
        <v>67.8</v>
      </c>
      <c r="D218" s="16">
        <v>0.55000000000000004</v>
      </c>
      <c r="E218" s="16">
        <v>13.97</v>
      </c>
      <c r="F218" s="17">
        <v>10.619</v>
      </c>
      <c r="G218" s="17"/>
      <c r="H218" s="16" t="s">
        <v>16</v>
      </c>
      <c r="I218" s="18">
        <v>10.986000000000001</v>
      </c>
      <c r="J218" s="18">
        <v>12.788</v>
      </c>
      <c r="K218" s="18">
        <v>13.43</v>
      </c>
      <c r="L218" s="18">
        <v>5.7119999999999997</v>
      </c>
      <c r="M218" s="16"/>
      <c r="N218" s="16">
        <v>100</v>
      </c>
      <c r="O218" s="16"/>
      <c r="P218" s="16">
        <v>60</v>
      </c>
      <c r="Q218" s="19">
        <v>1565</v>
      </c>
      <c r="R218" s="19">
        <v>1859</v>
      </c>
      <c r="S218" s="19">
        <v>2152</v>
      </c>
      <c r="T218" s="19">
        <v>2446</v>
      </c>
      <c r="U218" s="12"/>
    </row>
    <row r="219" spans="1:21" s="7" customFormat="1" x14ac:dyDescent="0.35">
      <c r="A219" s="7" t="s">
        <v>33</v>
      </c>
      <c r="B219" s="20">
        <f>13+3/8</f>
        <v>13.375</v>
      </c>
      <c r="C219" s="16">
        <v>54.5</v>
      </c>
      <c r="D219" s="16">
        <v>0.38</v>
      </c>
      <c r="E219" s="16">
        <v>9.65</v>
      </c>
      <c r="F219" s="17">
        <v>12.459</v>
      </c>
      <c r="G219" s="17"/>
      <c r="H219" s="16" t="s">
        <v>16</v>
      </c>
      <c r="I219" s="18">
        <v>12.561</v>
      </c>
      <c r="J219" s="18">
        <v>13.994999999999999</v>
      </c>
      <c r="K219" s="18">
        <v>13.39</v>
      </c>
      <c r="L219" s="18">
        <v>5.6980000000000004</v>
      </c>
      <c r="M219" s="16"/>
      <c r="N219" s="16">
        <v>100</v>
      </c>
      <c r="O219" s="16"/>
      <c r="P219" s="16">
        <v>60</v>
      </c>
      <c r="Q219" s="19">
        <v>1241</v>
      </c>
      <c r="R219" s="19">
        <v>1474</v>
      </c>
      <c r="S219" s="19">
        <v>1706</v>
      </c>
      <c r="T219" s="19">
        <v>1939</v>
      </c>
      <c r="U219" s="12"/>
    </row>
    <row r="220" spans="1:21" s="7" customFormat="1" x14ac:dyDescent="0.35">
      <c r="A220" s="7" t="s">
        <v>33</v>
      </c>
      <c r="B220" s="20">
        <f t="shared" ref="B220:B225" si="8">13+3/8</f>
        <v>13.375</v>
      </c>
      <c r="C220" s="16">
        <v>61</v>
      </c>
      <c r="D220" s="16">
        <v>0.43</v>
      </c>
      <c r="E220" s="16">
        <v>10.92</v>
      </c>
      <c r="F220" s="17">
        <v>12.359</v>
      </c>
      <c r="G220" s="17"/>
      <c r="H220" s="16" t="s">
        <v>16</v>
      </c>
      <c r="I220" s="18">
        <v>12.714</v>
      </c>
      <c r="J220" s="18">
        <v>14.085000000000001</v>
      </c>
      <c r="K220" s="18">
        <v>13.39</v>
      </c>
      <c r="L220" s="18">
        <v>5.6980000000000004</v>
      </c>
      <c r="M220" s="16"/>
      <c r="N220" s="16">
        <v>100</v>
      </c>
      <c r="O220" s="16"/>
      <c r="P220" s="16">
        <v>60</v>
      </c>
      <c r="Q220" s="19">
        <v>1399</v>
      </c>
      <c r="R220" s="19">
        <v>1661</v>
      </c>
      <c r="S220" s="19">
        <v>1924</v>
      </c>
      <c r="T220" s="19">
        <v>2186</v>
      </c>
      <c r="U220" s="12"/>
    </row>
    <row r="221" spans="1:21" s="7" customFormat="1" x14ac:dyDescent="0.35">
      <c r="A221" s="7" t="s">
        <v>33</v>
      </c>
      <c r="B221" s="20">
        <f t="shared" si="8"/>
        <v>13.375</v>
      </c>
      <c r="C221" s="16">
        <v>68</v>
      </c>
      <c r="D221" s="16">
        <v>0.48</v>
      </c>
      <c r="E221" s="16">
        <v>12.19</v>
      </c>
      <c r="F221" s="17">
        <v>12.259</v>
      </c>
      <c r="G221" s="17"/>
      <c r="H221" s="16" t="s">
        <v>16</v>
      </c>
      <c r="I221" s="18">
        <v>12.624000000000001</v>
      </c>
      <c r="J221" s="18">
        <v>14.176</v>
      </c>
      <c r="K221" s="18">
        <v>13.39</v>
      </c>
      <c r="L221" s="18">
        <v>5.6980000000000004</v>
      </c>
      <c r="M221" s="16"/>
      <c r="N221" s="16">
        <v>100</v>
      </c>
      <c r="O221" s="16"/>
      <c r="P221" s="16">
        <v>60</v>
      </c>
      <c r="Q221" s="19">
        <v>1556</v>
      </c>
      <c r="R221" s="19">
        <v>1847</v>
      </c>
      <c r="S221" s="19">
        <v>2139</v>
      </c>
      <c r="T221" s="19">
        <v>2431</v>
      </c>
      <c r="U221" s="12"/>
    </row>
    <row r="222" spans="1:21" s="7" customFormat="1" x14ac:dyDescent="0.35">
      <c r="A222" s="7" t="s">
        <v>33</v>
      </c>
      <c r="B222" s="20">
        <f t="shared" si="8"/>
        <v>13.375</v>
      </c>
      <c r="C222" s="16">
        <v>72</v>
      </c>
      <c r="D222" s="16">
        <v>0.51400000000000001</v>
      </c>
      <c r="E222" s="16">
        <v>13.06</v>
      </c>
      <c r="F222" s="17">
        <v>12.25</v>
      </c>
      <c r="G222" s="17" t="s">
        <v>41</v>
      </c>
      <c r="H222" s="16" t="s">
        <v>16</v>
      </c>
      <c r="I222" s="18">
        <v>12.561999999999999</v>
      </c>
      <c r="J222" s="18">
        <v>14.237</v>
      </c>
      <c r="K222" s="18">
        <v>13.39</v>
      </c>
      <c r="L222" s="18">
        <v>5.6980000000000004</v>
      </c>
      <c r="M222" s="16"/>
      <c r="N222" s="16">
        <v>100</v>
      </c>
      <c r="O222" s="16"/>
      <c r="P222" s="16">
        <v>60</v>
      </c>
      <c r="Q222" s="19">
        <v>1661</v>
      </c>
      <c r="R222" s="19">
        <v>1973</v>
      </c>
      <c r="S222" s="19">
        <v>2284</v>
      </c>
      <c r="T222" s="19">
        <v>2596</v>
      </c>
      <c r="U222" s="12"/>
    </row>
    <row r="223" spans="1:21" s="7" customFormat="1" x14ac:dyDescent="0.35">
      <c r="A223" s="7" t="s">
        <v>33</v>
      </c>
      <c r="B223" s="20">
        <f t="shared" si="8"/>
        <v>13.375</v>
      </c>
      <c r="C223" s="16">
        <v>77</v>
      </c>
      <c r="D223" s="16">
        <v>0.55000000000000004</v>
      </c>
      <c r="E223" s="16">
        <v>13.97</v>
      </c>
      <c r="F223" s="17">
        <v>12.119</v>
      </c>
      <c r="G223" s="17"/>
      <c r="H223" s="16" t="s">
        <v>16</v>
      </c>
      <c r="I223" s="18">
        <v>12.497999999999999</v>
      </c>
      <c r="J223" s="18">
        <v>14.3</v>
      </c>
      <c r="K223" s="18">
        <v>13.39</v>
      </c>
      <c r="L223" s="18">
        <v>5.6980000000000004</v>
      </c>
      <c r="M223" s="16"/>
      <c r="N223" s="16">
        <v>100</v>
      </c>
      <c r="O223" s="16"/>
      <c r="P223" s="16">
        <v>60</v>
      </c>
      <c r="Q223" s="19">
        <v>1773</v>
      </c>
      <c r="R223" s="19">
        <v>2105</v>
      </c>
      <c r="S223" s="19">
        <v>2438</v>
      </c>
      <c r="T223" s="19">
        <v>2770</v>
      </c>
      <c r="U223" s="12"/>
    </row>
    <row r="224" spans="1:21" s="7" customFormat="1" x14ac:dyDescent="0.35">
      <c r="A224" s="7" t="s">
        <v>33</v>
      </c>
      <c r="B224" s="20">
        <f t="shared" si="8"/>
        <v>13.375</v>
      </c>
      <c r="C224" s="16">
        <v>80.7</v>
      </c>
      <c r="D224" s="16">
        <v>0.57999999999999996</v>
      </c>
      <c r="E224" s="16">
        <v>14.73</v>
      </c>
      <c r="F224" s="17">
        <v>12.058999999999999</v>
      </c>
      <c r="G224" s="17"/>
      <c r="H224" s="16" t="s">
        <v>16</v>
      </c>
      <c r="I224" s="18">
        <v>12.442</v>
      </c>
      <c r="J224" s="18">
        <v>14.351000000000001</v>
      </c>
      <c r="K224" s="18">
        <v>13.39</v>
      </c>
      <c r="L224" s="18">
        <v>5.6980000000000004</v>
      </c>
      <c r="M224" s="16"/>
      <c r="N224" s="16">
        <v>100</v>
      </c>
      <c r="O224" s="16"/>
      <c r="P224" s="16">
        <v>60</v>
      </c>
      <c r="Q224" s="19">
        <v>1865</v>
      </c>
      <c r="R224" s="19">
        <v>2215</v>
      </c>
      <c r="S224" s="19">
        <v>2565</v>
      </c>
      <c r="T224" s="19">
        <v>2914</v>
      </c>
      <c r="U224" s="12"/>
    </row>
    <row r="225" spans="1:21" s="7" customFormat="1" x14ac:dyDescent="0.35">
      <c r="A225" s="7" t="s">
        <v>33</v>
      </c>
      <c r="B225" s="20">
        <f t="shared" si="8"/>
        <v>13.375</v>
      </c>
      <c r="C225" s="16">
        <v>85</v>
      </c>
      <c r="D225" s="16">
        <v>0.60799999999999998</v>
      </c>
      <c r="E225" s="16">
        <v>15.44</v>
      </c>
      <c r="F225" s="17">
        <v>12.003</v>
      </c>
      <c r="G225" s="17"/>
      <c r="H225" s="16" t="s">
        <v>16</v>
      </c>
      <c r="I225" s="18">
        <v>12.393000000000001</v>
      </c>
      <c r="J225" s="18">
        <v>14.4</v>
      </c>
      <c r="K225" s="18">
        <v>13.39</v>
      </c>
      <c r="L225" s="18">
        <v>5.6980000000000004</v>
      </c>
      <c r="M225" s="16"/>
      <c r="N225" s="16">
        <v>100</v>
      </c>
      <c r="O225" s="16"/>
      <c r="P225" s="16">
        <v>60</v>
      </c>
      <c r="Q225" s="19">
        <v>1951</v>
      </c>
      <c r="R225" s="19">
        <v>2317</v>
      </c>
      <c r="S225" s="19">
        <v>2682</v>
      </c>
      <c r="T225" s="19">
        <v>3048</v>
      </c>
      <c r="U225" s="12"/>
    </row>
    <row r="226" spans="1:21" s="7" customFormat="1" x14ac:dyDescent="0.35">
      <c r="A226" s="7" t="s">
        <v>33</v>
      </c>
      <c r="B226" s="20">
        <v>13.625</v>
      </c>
      <c r="C226" s="16">
        <v>88.2</v>
      </c>
      <c r="D226" s="16">
        <v>0.625</v>
      </c>
      <c r="E226" s="16">
        <v>15.88</v>
      </c>
      <c r="F226" s="17">
        <v>12.25</v>
      </c>
      <c r="G226" s="17" t="s">
        <v>42</v>
      </c>
      <c r="H226" s="16" t="s">
        <v>16</v>
      </c>
      <c r="I226" s="18">
        <v>12.614000000000001</v>
      </c>
      <c r="J226" s="18">
        <v>14.682</v>
      </c>
      <c r="K226" s="18">
        <v>13.39</v>
      </c>
      <c r="L226" s="18">
        <v>5.6980000000000004</v>
      </c>
      <c r="M226" s="16"/>
      <c r="N226" s="16">
        <v>100</v>
      </c>
      <c r="O226" s="16"/>
      <c r="P226" s="16">
        <v>60</v>
      </c>
      <c r="Q226" s="19">
        <v>2042</v>
      </c>
      <c r="R226" s="19">
        <v>2425</v>
      </c>
      <c r="S226" s="19">
        <v>2808</v>
      </c>
      <c r="T226" s="19">
        <v>3191</v>
      </c>
      <c r="U226" s="12"/>
    </row>
    <row r="227" spans="1:21" s="7" customFormat="1" x14ac:dyDescent="0.35">
      <c r="A227" s="7" t="s">
        <v>33</v>
      </c>
      <c r="B227" s="20">
        <v>14</v>
      </c>
      <c r="C227" s="16">
        <v>82.5</v>
      </c>
      <c r="D227" s="16">
        <v>0.56200000000000006</v>
      </c>
      <c r="E227" s="16">
        <v>14.27</v>
      </c>
      <c r="F227" s="17">
        <v>12.689</v>
      </c>
      <c r="G227" s="17"/>
      <c r="H227" s="16" t="s">
        <v>28</v>
      </c>
      <c r="I227" s="18">
        <v>13.096</v>
      </c>
      <c r="J227" s="18">
        <v>14.882</v>
      </c>
      <c r="K227" s="18">
        <v>15.91</v>
      </c>
      <c r="L227" s="18">
        <v>6.9450000000000003</v>
      </c>
      <c r="M227" s="16"/>
      <c r="N227" s="16">
        <v>100</v>
      </c>
      <c r="O227" s="16"/>
      <c r="P227" s="16">
        <v>60</v>
      </c>
      <c r="Q227" s="19">
        <v>1898</v>
      </c>
      <c r="R227" s="19">
        <v>2254</v>
      </c>
      <c r="S227" s="19">
        <v>2610</v>
      </c>
      <c r="T227" s="19">
        <v>2966</v>
      </c>
      <c r="U227" s="12"/>
    </row>
    <row r="228" spans="1:21" s="7" customFormat="1" x14ac:dyDescent="0.35">
      <c r="A228" s="7" t="s">
        <v>33</v>
      </c>
      <c r="B228" s="20">
        <v>14</v>
      </c>
      <c r="C228" s="16">
        <v>86</v>
      </c>
      <c r="D228" s="16">
        <v>0.6</v>
      </c>
      <c r="E228" s="16">
        <v>15.24</v>
      </c>
      <c r="F228" s="17">
        <v>12.613</v>
      </c>
      <c r="G228" s="17"/>
      <c r="H228" s="16" t="s">
        <v>28</v>
      </c>
      <c r="I228" s="18">
        <v>13.026999999999999</v>
      </c>
      <c r="J228" s="18">
        <v>14.946999999999999</v>
      </c>
      <c r="K228" s="18">
        <v>15.91</v>
      </c>
      <c r="L228" s="18">
        <v>6.9450000000000003</v>
      </c>
      <c r="M228" s="16"/>
      <c r="N228" s="16">
        <v>100</v>
      </c>
      <c r="O228" s="16"/>
      <c r="P228" s="16">
        <v>60</v>
      </c>
      <c r="Q228" s="19">
        <v>2021</v>
      </c>
      <c r="R228" s="19">
        <v>2400</v>
      </c>
      <c r="S228" s="19">
        <v>2778</v>
      </c>
      <c r="T228" s="19">
        <v>3157</v>
      </c>
      <c r="U228" s="12"/>
    </row>
    <row r="229" spans="1:21" s="7" customFormat="1" x14ac:dyDescent="0.35">
      <c r="A229" s="7" t="s">
        <v>33</v>
      </c>
      <c r="B229" s="20">
        <v>14</v>
      </c>
      <c r="C229" s="16">
        <v>93</v>
      </c>
      <c r="D229" s="16">
        <v>0.65</v>
      </c>
      <c r="E229" s="16">
        <v>16.510000000000002</v>
      </c>
      <c r="F229" s="17">
        <v>12.513</v>
      </c>
      <c r="G229" s="17"/>
      <c r="H229" s="16" t="s">
        <v>28</v>
      </c>
      <c r="I229" s="18">
        <v>12.936999999999999</v>
      </c>
      <c r="J229" s="18">
        <v>15.034000000000001</v>
      </c>
      <c r="K229" s="18">
        <v>15.91</v>
      </c>
      <c r="L229" s="18">
        <v>6.9450000000000003</v>
      </c>
      <c r="M229" s="16"/>
      <c r="N229" s="16">
        <v>100</v>
      </c>
      <c r="O229" s="16"/>
      <c r="P229" s="16">
        <v>60</v>
      </c>
      <c r="Q229" s="19">
        <v>2181</v>
      </c>
      <c r="R229" s="19">
        <v>2590</v>
      </c>
      <c r="S229" s="19">
        <v>2999</v>
      </c>
      <c r="T229" s="19">
        <v>3408</v>
      </c>
      <c r="U229" s="12"/>
    </row>
    <row r="230" spans="1:21" s="7" customFormat="1" x14ac:dyDescent="0.35">
      <c r="A230" s="7" t="s">
        <v>33</v>
      </c>
      <c r="B230" s="20">
        <v>14</v>
      </c>
      <c r="C230" s="16">
        <v>96.9</v>
      </c>
      <c r="D230" s="16">
        <v>0.67</v>
      </c>
      <c r="E230" s="16">
        <v>17.02</v>
      </c>
      <c r="F230" s="17">
        <v>12.473000000000001</v>
      </c>
      <c r="G230" s="17"/>
      <c r="H230" s="16" t="s">
        <v>28</v>
      </c>
      <c r="I230" s="18">
        <v>12.898999999999999</v>
      </c>
      <c r="J230" s="18">
        <v>15.069000000000001</v>
      </c>
      <c r="K230" s="18">
        <v>15.91</v>
      </c>
      <c r="L230" s="18">
        <v>6.9450000000000003</v>
      </c>
      <c r="M230" s="16"/>
      <c r="N230" s="16">
        <v>100</v>
      </c>
      <c r="O230" s="16"/>
      <c r="P230" s="16">
        <v>60</v>
      </c>
      <c r="Q230" s="19">
        <v>2245</v>
      </c>
      <c r="R230" s="19">
        <v>2666</v>
      </c>
      <c r="S230" s="19">
        <v>3086</v>
      </c>
      <c r="T230" s="19">
        <v>3507</v>
      </c>
      <c r="U230" s="12"/>
    </row>
    <row r="231" spans="1:21" s="7" customFormat="1" x14ac:dyDescent="0.35">
      <c r="A231" s="7" t="s">
        <v>33</v>
      </c>
      <c r="B231" s="20">
        <v>14</v>
      </c>
      <c r="C231" s="16">
        <v>100</v>
      </c>
      <c r="D231" s="16">
        <v>0.7</v>
      </c>
      <c r="E231" s="16">
        <v>17.78</v>
      </c>
      <c r="F231" s="17">
        <v>12.413</v>
      </c>
      <c r="G231" s="17"/>
      <c r="H231" s="16" t="s">
        <v>28</v>
      </c>
      <c r="I231" s="18">
        <v>12.846</v>
      </c>
      <c r="J231" s="18">
        <v>15.121</v>
      </c>
      <c r="K231" s="18">
        <v>15.91</v>
      </c>
      <c r="L231" s="18">
        <v>6.9450000000000003</v>
      </c>
      <c r="M231" s="16"/>
      <c r="N231" s="16">
        <v>100</v>
      </c>
      <c r="O231" s="16"/>
      <c r="P231" s="16">
        <v>60</v>
      </c>
      <c r="Q231" s="19">
        <v>2340</v>
      </c>
      <c r="R231" s="19">
        <v>2779</v>
      </c>
      <c r="S231" s="19">
        <v>3217</v>
      </c>
      <c r="T231" s="19">
        <v>3656</v>
      </c>
      <c r="U231" s="12"/>
    </row>
    <row r="232" spans="1:21" s="7" customFormat="1" x14ac:dyDescent="0.35">
      <c r="A232" s="7" t="s">
        <v>33</v>
      </c>
      <c r="B232" s="20">
        <v>14</v>
      </c>
      <c r="C232" s="16">
        <v>106</v>
      </c>
      <c r="D232" s="16">
        <v>0.75</v>
      </c>
      <c r="E232" s="16">
        <v>19.05</v>
      </c>
      <c r="F232" s="17">
        <v>12.313000000000001</v>
      </c>
      <c r="G232" s="17"/>
      <c r="H232" s="16" t="s">
        <v>28</v>
      </c>
      <c r="I232" s="18">
        <v>12.757</v>
      </c>
      <c r="J232" s="18">
        <v>15.205</v>
      </c>
      <c r="K232" s="18">
        <v>15.91</v>
      </c>
      <c r="L232" s="18">
        <v>6.9450000000000003</v>
      </c>
      <c r="M232" s="16"/>
      <c r="N232" s="16">
        <v>100</v>
      </c>
      <c r="O232" s="16"/>
      <c r="P232" s="16">
        <v>60</v>
      </c>
      <c r="Q232" s="19">
        <v>2498</v>
      </c>
      <c r="R232" s="19">
        <v>2966</v>
      </c>
      <c r="S232" s="19">
        <v>3434</v>
      </c>
      <c r="T232" s="19">
        <v>3903</v>
      </c>
      <c r="U232" s="12"/>
    </row>
    <row r="233" spans="1:21" s="7" customFormat="1" x14ac:dyDescent="0.35">
      <c r="A233" s="7" t="s">
        <v>33</v>
      </c>
      <c r="B233" s="20">
        <v>14</v>
      </c>
      <c r="C233" s="16">
        <v>114</v>
      </c>
      <c r="D233" s="16">
        <v>0.8</v>
      </c>
      <c r="E233" s="16">
        <v>20.32</v>
      </c>
      <c r="F233" s="17">
        <v>12.25</v>
      </c>
      <c r="G233" s="17" t="s">
        <v>42</v>
      </c>
      <c r="H233" s="16" t="s">
        <v>28</v>
      </c>
      <c r="I233" s="18">
        <v>12.667</v>
      </c>
      <c r="J233" s="18">
        <v>15.282</v>
      </c>
      <c r="K233" s="18">
        <v>15.91</v>
      </c>
      <c r="L233" s="18">
        <v>6.9450000000000003</v>
      </c>
      <c r="M233" s="16"/>
      <c r="N233" s="16">
        <v>100</v>
      </c>
      <c r="O233" s="16"/>
      <c r="P233" s="16">
        <v>60</v>
      </c>
      <c r="Q233" s="19">
        <v>2654</v>
      </c>
      <c r="R233" s="19">
        <v>3152</v>
      </c>
      <c r="S233" s="19">
        <v>3649</v>
      </c>
      <c r="T233" s="19">
        <v>4147</v>
      </c>
      <c r="U233" s="12"/>
    </row>
    <row r="234" spans="1:21" s="7" customFormat="1" x14ac:dyDescent="0.35">
      <c r="A234" s="7" t="s">
        <v>33</v>
      </c>
      <c r="B234" s="20">
        <v>15</v>
      </c>
      <c r="C234" s="16">
        <v>92.5</v>
      </c>
      <c r="D234" s="16">
        <v>0.57999999999999996</v>
      </c>
      <c r="E234" s="16">
        <v>14.73</v>
      </c>
      <c r="F234" s="17">
        <v>13.653</v>
      </c>
      <c r="G234" s="17"/>
      <c r="H234" s="16" t="s">
        <v>29</v>
      </c>
      <c r="I234" s="18">
        <v>14.076000000000001</v>
      </c>
      <c r="J234" s="18">
        <v>15.994999999999999</v>
      </c>
      <c r="K234" s="18">
        <v>13.07</v>
      </c>
      <c r="L234" s="18">
        <v>5.5279999999999996</v>
      </c>
      <c r="M234" s="16"/>
      <c r="N234" s="16">
        <v>100</v>
      </c>
      <c r="O234" s="16"/>
      <c r="P234" s="16">
        <v>60</v>
      </c>
      <c r="Q234" s="19">
        <v>2102</v>
      </c>
      <c r="R234" s="19">
        <v>2496</v>
      </c>
      <c r="S234" s="19">
        <v>2890</v>
      </c>
      <c r="T234" s="19">
        <v>3284</v>
      </c>
      <c r="U234" s="12"/>
    </row>
    <row r="235" spans="1:21" s="7" customFormat="1" x14ac:dyDescent="0.35">
      <c r="A235" s="7" t="s">
        <v>33</v>
      </c>
      <c r="B235" s="20">
        <v>16</v>
      </c>
      <c r="C235" s="16">
        <v>84</v>
      </c>
      <c r="D235" s="16">
        <v>0.495</v>
      </c>
      <c r="E235" s="16">
        <v>12.57</v>
      </c>
      <c r="F235" s="17">
        <v>14.823</v>
      </c>
      <c r="G235" s="17"/>
      <c r="H235" s="16" t="s">
        <v>30</v>
      </c>
      <c r="I235" s="18">
        <v>15.233000000000001</v>
      </c>
      <c r="J235" s="18">
        <v>16.863</v>
      </c>
      <c r="K235" s="18">
        <v>12.52</v>
      </c>
      <c r="L235" s="18">
        <v>5.2519999999999998</v>
      </c>
      <c r="M235" s="16"/>
      <c r="N235" s="16">
        <v>100</v>
      </c>
      <c r="O235" s="16"/>
      <c r="P235" s="16">
        <v>60</v>
      </c>
      <c r="Q235" s="19">
        <v>1929</v>
      </c>
      <c r="R235" s="19">
        <v>2291</v>
      </c>
      <c r="S235" s="19">
        <v>2652</v>
      </c>
      <c r="T235" s="19">
        <v>3014</v>
      </c>
      <c r="U235" s="12"/>
    </row>
    <row r="236" spans="1:21" s="7" customFormat="1" x14ac:dyDescent="0.35">
      <c r="A236" s="7" t="s">
        <v>33</v>
      </c>
      <c r="B236" s="20">
        <v>16</v>
      </c>
      <c r="C236" s="16">
        <v>95</v>
      </c>
      <c r="D236" s="16">
        <v>0.56599999999999995</v>
      </c>
      <c r="E236" s="16">
        <v>14.38</v>
      </c>
      <c r="F236" s="17">
        <v>14.680999999999999</v>
      </c>
      <c r="G236" s="17"/>
      <c r="H236" s="16" t="s">
        <v>30</v>
      </c>
      <c r="I236" s="18">
        <v>15.106999999999999</v>
      </c>
      <c r="J236" s="18">
        <v>16.992999999999999</v>
      </c>
      <c r="K236" s="18">
        <v>12.52</v>
      </c>
      <c r="L236" s="18">
        <v>5.2519999999999998</v>
      </c>
      <c r="M236" s="16"/>
      <c r="N236" s="16">
        <v>100</v>
      </c>
      <c r="O236" s="16"/>
      <c r="P236" s="16">
        <v>60</v>
      </c>
      <c r="Q236" s="19">
        <v>2196</v>
      </c>
      <c r="R236" s="19">
        <v>2607</v>
      </c>
      <c r="S236" s="19">
        <v>3019</v>
      </c>
      <c r="T236" s="19">
        <v>3431</v>
      </c>
      <c r="U236" s="12"/>
    </row>
    <row r="237" spans="1:21" s="7" customFormat="1" x14ac:dyDescent="0.35">
      <c r="A237" s="7" t="s">
        <v>33</v>
      </c>
      <c r="B237" s="20">
        <v>16</v>
      </c>
      <c r="C237" s="16">
        <v>109</v>
      </c>
      <c r="D237" s="16">
        <v>0.65600000000000003</v>
      </c>
      <c r="E237" s="16">
        <v>16.66</v>
      </c>
      <c r="F237" s="17">
        <v>14.500999999999999</v>
      </c>
      <c r="G237" s="17"/>
      <c r="H237" s="16" t="s">
        <v>31</v>
      </c>
      <c r="I237" s="18">
        <v>14.946</v>
      </c>
      <c r="J237" s="18">
        <v>17.109000000000002</v>
      </c>
      <c r="K237" s="18">
        <v>14.09</v>
      </c>
      <c r="L237" s="18">
        <v>6.04</v>
      </c>
      <c r="M237" s="16"/>
      <c r="N237" s="16">
        <v>100</v>
      </c>
      <c r="O237" s="16"/>
      <c r="P237" s="16">
        <v>60</v>
      </c>
      <c r="Q237" s="19">
        <v>2530</v>
      </c>
      <c r="R237" s="19">
        <v>3004</v>
      </c>
      <c r="S237" s="19"/>
      <c r="T237" s="12"/>
      <c r="U237" s="12"/>
    </row>
    <row r="238" spans="1:21" s="7" customFormat="1" x14ac:dyDescent="0.35">
      <c r="A238" s="7" t="s">
        <v>37</v>
      </c>
      <c r="B238" s="16">
        <f>18+5/8</f>
        <v>18.625</v>
      </c>
      <c r="C238" s="16">
        <v>87.5</v>
      </c>
      <c r="D238" s="16">
        <v>0.435</v>
      </c>
      <c r="E238" s="16">
        <v>11.05</v>
      </c>
      <c r="F238" s="17">
        <v>17.568000000000001</v>
      </c>
      <c r="G238" s="17"/>
      <c r="H238" s="16" t="s">
        <v>16</v>
      </c>
      <c r="I238" s="18">
        <v>17.817</v>
      </c>
      <c r="J238" s="18">
        <v>19.363</v>
      </c>
      <c r="K238" s="18">
        <v>13.27</v>
      </c>
      <c r="L238" s="18">
        <v>5.6289999999999996</v>
      </c>
      <c r="M238" s="16">
        <v>100</v>
      </c>
      <c r="N238" s="16">
        <v>60</v>
      </c>
      <c r="O238" s="16">
        <v>100</v>
      </c>
      <c r="P238" s="16">
        <v>60</v>
      </c>
      <c r="Q238" s="19">
        <v>1989</v>
      </c>
      <c r="R238" s="19">
        <v>2362</v>
      </c>
      <c r="S238" s="19">
        <v>2734</v>
      </c>
      <c r="T238" s="19">
        <v>3107</v>
      </c>
      <c r="U238" s="12"/>
    </row>
    <row r="239" spans="1:21" s="7" customFormat="1" x14ac:dyDescent="0.35">
      <c r="A239" s="7" t="s">
        <v>37</v>
      </c>
      <c r="B239" s="16">
        <f t="shared" ref="B239:B245" si="9">18+5/8</f>
        <v>18.625</v>
      </c>
      <c r="C239" s="16">
        <v>96.5</v>
      </c>
      <c r="D239" s="16">
        <v>0.48499999999999999</v>
      </c>
      <c r="E239" s="16">
        <v>12.32</v>
      </c>
      <c r="F239" s="17">
        <v>17.5</v>
      </c>
      <c r="G239" s="17" t="s">
        <v>42</v>
      </c>
      <c r="H239" s="16" t="s">
        <v>16</v>
      </c>
      <c r="I239" s="18">
        <v>17.731000000000002</v>
      </c>
      <c r="J239" s="18">
        <v>19.434000000000001</v>
      </c>
      <c r="K239" s="18">
        <v>13.98</v>
      </c>
      <c r="L239" s="18">
        <v>5.984</v>
      </c>
      <c r="M239" s="16">
        <v>100</v>
      </c>
      <c r="N239" s="16">
        <v>60</v>
      </c>
      <c r="O239" s="16">
        <v>100</v>
      </c>
      <c r="P239" s="16">
        <v>60</v>
      </c>
      <c r="Q239" s="19">
        <v>2211</v>
      </c>
      <c r="R239" s="19">
        <v>2626</v>
      </c>
      <c r="S239" s="19">
        <v>3040</v>
      </c>
      <c r="T239" s="19">
        <v>3455</v>
      </c>
      <c r="U239" s="12"/>
    </row>
    <row r="240" spans="1:21" s="7" customFormat="1" x14ac:dyDescent="0.35">
      <c r="A240" s="7" t="s">
        <v>37</v>
      </c>
      <c r="B240" s="16">
        <f t="shared" si="9"/>
        <v>18.625</v>
      </c>
      <c r="C240" s="16">
        <v>114</v>
      </c>
      <c r="D240" s="16">
        <v>0.57899999999999996</v>
      </c>
      <c r="E240" s="16">
        <v>14.71</v>
      </c>
      <c r="F240" s="17">
        <v>17.28</v>
      </c>
      <c r="G240" s="17"/>
      <c r="H240" s="16" t="s">
        <v>16</v>
      </c>
      <c r="I240" s="18">
        <v>17.568000000000001</v>
      </c>
      <c r="J240" s="18">
        <v>19.559999999999999</v>
      </c>
      <c r="K240" s="18">
        <v>15.31</v>
      </c>
      <c r="L240" s="18">
        <v>6.6529999999999996</v>
      </c>
      <c r="M240" s="16">
        <v>100</v>
      </c>
      <c r="N240" s="16">
        <v>60</v>
      </c>
      <c r="O240" s="16">
        <v>100</v>
      </c>
      <c r="P240" s="16">
        <v>60</v>
      </c>
      <c r="Q240" s="19">
        <v>2626</v>
      </c>
      <c r="R240" s="19">
        <v>3118</v>
      </c>
      <c r="S240" s="19">
        <v>3611</v>
      </c>
      <c r="T240" s="19">
        <v>4103</v>
      </c>
      <c r="U240" s="12"/>
    </row>
    <row r="241" spans="1:21" s="7" customFormat="1" x14ac:dyDescent="0.35">
      <c r="A241" s="7" t="s">
        <v>37</v>
      </c>
      <c r="B241" s="16">
        <f t="shared" si="9"/>
        <v>18.625</v>
      </c>
      <c r="C241" s="16">
        <v>136</v>
      </c>
      <c r="D241" s="16">
        <v>0.69299999999999995</v>
      </c>
      <c r="E241" s="16">
        <v>17.600000000000001</v>
      </c>
      <c r="F241" s="17">
        <v>17.052</v>
      </c>
      <c r="G241" s="17"/>
      <c r="H241" s="16" t="s">
        <v>16</v>
      </c>
      <c r="I241" s="18">
        <v>17.54</v>
      </c>
      <c r="J241" s="18">
        <v>19.709</v>
      </c>
      <c r="K241" s="18">
        <v>16.97</v>
      </c>
      <c r="L241" s="18">
        <v>7.48</v>
      </c>
      <c r="M241" s="16">
        <v>100</v>
      </c>
      <c r="N241" s="16">
        <v>60</v>
      </c>
      <c r="O241" s="16">
        <v>100</v>
      </c>
      <c r="P241" s="16">
        <v>60</v>
      </c>
      <c r="Q241" s="19">
        <v>3123</v>
      </c>
      <c r="R241" s="19">
        <v>3709</v>
      </c>
      <c r="S241" s="19">
        <v>4294</v>
      </c>
      <c r="T241" s="19">
        <v>4880</v>
      </c>
      <c r="U241" s="12"/>
    </row>
    <row r="242" spans="1:21" s="7" customFormat="1" x14ac:dyDescent="0.35">
      <c r="A242" s="7" t="s">
        <v>37</v>
      </c>
      <c r="B242" s="16">
        <f t="shared" si="9"/>
        <v>18.625</v>
      </c>
      <c r="C242" s="16">
        <v>139</v>
      </c>
      <c r="D242" s="16">
        <v>0.72</v>
      </c>
      <c r="E242" s="16">
        <v>18.29</v>
      </c>
      <c r="F242" s="17">
        <v>16.998000000000001</v>
      </c>
      <c r="G242" s="17"/>
      <c r="H242" s="16" t="s">
        <v>16</v>
      </c>
      <c r="I242" s="18">
        <v>17.492999999999999</v>
      </c>
      <c r="J242" s="18">
        <v>19.745000000000001</v>
      </c>
      <c r="K242" s="18">
        <v>17.36</v>
      </c>
      <c r="L242" s="18">
        <v>7.6769999999999996</v>
      </c>
      <c r="M242" s="16">
        <v>100</v>
      </c>
      <c r="N242" s="16">
        <v>60</v>
      </c>
      <c r="O242" s="16">
        <v>100</v>
      </c>
      <c r="P242" s="16">
        <v>60</v>
      </c>
      <c r="Q242" s="19">
        <v>3240</v>
      </c>
      <c r="R242" s="19">
        <v>3848</v>
      </c>
      <c r="S242" s="19">
        <v>4455</v>
      </c>
      <c r="T242" s="19">
        <v>5063</v>
      </c>
      <c r="U242" s="12"/>
    </row>
    <row r="243" spans="1:21" s="7" customFormat="1" x14ac:dyDescent="0.35">
      <c r="A243" s="7" t="s">
        <v>37</v>
      </c>
      <c r="B243" s="16">
        <f t="shared" si="9"/>
        <v>18.625</v>
      </c>
      <c r="C243" s="16">
        <v>147</v>
      </c>
      <c r="D243" s="16">
        <v>0.755</v>
      </c>
      <c r="E243" s="16">
        <v>19.18</v>
      </c>
      <c r="F243" s="17">
        <v>16.928000000000001</v>
      </c>
      <c r="G243" s="17"/>
      <c r="H243" s="16" t="s">
        <v>16</v>
      </c>
      <c r="I243" s="18">
        <v>17.431000000000001</v>
      </c>
      <c r="J243" s="18">
        <v>19.792000000000002</v>
      </c>
      <c r="K243" s="18">
        <v>17.829999999999998</v>
      </c>
      <c r="L243" s="18">
        <v>7.9130000000000003</v>
      </c>
      <c r="M243" s="16">
        <v>100</v>
      </c>
      <c r="N243" s="16">
        <v>60</v>
      </c>
      <c r="O243" s="16">
        <v>100</v>
      </c>
      <c r="P243" s="16">
        <v>60</v>
      </c>
      <c r="Q243" s="19">
        <v>3391</v>
      </c>
      <c r="R243" s="19">
        <v>4027</v>
      </c>
      <c r="S243" s="19">
        <v>4662</v>
      </c>
      <c r="T243" s="19">
        <v>5298</v>
      </c>
      <c r="U243" s="12"/>
    </row>
    <row r="244" spans="1:21" s="7" customFormat="1" x14ac:dyDescent="0.35">
      <c r="A244" s="7" t="s">
        <v>37</v>
      </c>
      <c r="B244" s="16">
        <f t="shared" si="9"/>
        <v>18.625</v>
      </c>
      <c r="C244" s="16">
        <v>150.5</v>
      </c>
      <c r="D244" s="16">
        <v>0.77500000000000002</v>
      </c>
      <c r="E244" s="16">
        <v>19.68</v>
      </c>
      <c r="F244" s="17">
        <v>16.888000000000002</v>
      </c>
      <c r="G244" s="17"/>
      <c r="H244" s="16" t="s">
        <v>16</v>
      </c>
      <c r="I244" s="18">
        <v>17.396000000000001</v>
      </c>
      <c r="J244" s="18">
        <v>19.815000000000001</v>
      </c>
      <c r="K244" s="18">
        <v>18.149999999999999</v>
      </c>
      <c r="L244" s="18">
        <v>8.07</v>
      </c>
      <c r="M244" s="16">
        <v>100</v>
      </c>
      <c r="N244" s="16">
        <v>60</v>
      </c>
      <c r="O244" s="16">
        <v>100</v>
      </c>
      <c r="P244" s="16">
        <v>60</v>
      </c>
      <c r="Q244" s="19">
        <v>3477</v>
      </c>
      <c r="R244" s="19">
        <v>4129</v>
      </c>
      <c r="S244" s="19">
        <v>4781</v>
      </c>
      <c r="T244" s="19">
        <v>5433</v>
      </c>
      <c r="U244" s="12"/>
    </row>
    <row r="245" spans="1:21" s="7" customFormat="1" x14ac:dyDescent="0.35">
      <c r="A245" s="7" t="s">
        <v>37</v>
      </c>
      <c r="B245" s="16">
        <f t="shared" si="9"/>
        <v>18.625</v>
      </c>
      <c r="C245" s="16">
        <v>155</v>
      </c>
      <c r="D245" s="16">
        <v>0.8</v>
      </c>
      <c r="E245" s="16">
        <v>20.32</v>
      </c>
      <c r="F245" s="17">
        <v>16.838000000000001</v>
      </c>
      <c r="G245" s="17"/>
      <c r="H245" s="16" t="s">
        <v>16</v>
      </c>
      <c r="I245" s="18">
        <v>17.353000000000002</v>
      </c>
      <c r="J245" s="18">
        <v>19.847000000000001</v>
      </c>
      <c r="K245" s="18">
        <v>18.46</v>
      </c>
      <c r="L245" s="18">
        <v>8.2279999999999998</v>
      </c>
      <c r="M245" s="16">
        <v>100</v>
      </c>
      <c r="N245" s="16">
        <v>60</v>
      </c>
      <c r="O245" s="16">
        <v>100</v>
      </c>
      <c r="P245" s="16">
        <v>60</v>
      </c>
      <c r="Q245" s="19">
        <v>3584</v>
      </c>
      <c r="R245" s="19">
        <v>4256</v>
      </c>
      <c r="S245" s="19">
        <v>4928</v>
      </c>
      <c r="T245" s="19">
        <v>5600</v>
      </c>
      <c r="U245" s="12"/>
    </row>
    <row r="246" spans="1:21" s="7" customFormat="1" x14ac:dyDescent="0.35">
      <c r="A246" s="7" t="s">
        <v>37</v>
      </c>
      <c r="B246" s="16">
        <v>20</v>
      </c>
      <c r="C246" s="16">
        <v>94</v>
      </c>
      <c r="D246" s="16">
        <v>0.438</v>
      </c>
      <c r="E246" s="16">
        <v>11.13</v>
      </c>
      <c r="F246" s="17">
        <v>18.937000000000001</v>
      </c>
      <c r="G246" s="17"/>
      <c r="H246" s="16" t="s">
        <v>16</v>
      </c>
      <c r="I246" s="18">
        <v>19.187000000000001</v>
      </c>
      <c r="J246" s="18">
        <v>20.745000000000001</v>
      </c>
      <c r="K246" s="18">
        <v>13.35</v>
      </c>
      <c r="L246" s="18">
        <v>5.6689999999999996</v>
      </c>
      <c r="M246" s="16">
        <v>100</v>
      </c>
      <c r="N246" s="16">
        <v>60</v>
      </c>
      <c r="O246" s="16">
        <v>100</v>
      </c>
      <c r="P246" s="16">
        <v>60</v>
      </c>
      <c r="Q246" s="19">
        <v>2153</v>
      </c>
      <c r="R246" s="19">
        <v>2557</v>
      </c>
      <c r="S246" s="19">
        <v>2961</v>
      </c>
      <c r="T246" s="19">
        <v>3365</v>
      </c>
      <c r="U246" s="12"/>
    </row>
    <row r="247" spans="1:21" s="7" customFormat="1" x14ac:dyDescent="0.35">
      <c r="A247" s="7" t="s">
        <v>37</v>
      </c>
      <c r="B247" s="16">
        <v>20</v>
      </c>
      <c r="C247" s="16">
        <v>106.5</v>
      </c>
      <c r="D247" s="16">
        <v>0.5</v>
      </c>
      <c r="E247" s="16">
        <v>12.7</v>
      </c>
      <c r="F247" s="17">
        <v>18.812999999999999</v>
      </c>
      <c r="G247" s="17"/>
      <c r="H247" s="16" t="s">
        <v>16</v>
      </c>
      <c r="I247" s="18">
        <v>19.079000000000001</v>
      </c>
      <c r="J247" s="18">
        <v>20.831</v>
      </c>
      <c r="K247" s="18">
        <v>14.29</v>
      </c>
      <c r="L247" s="18">
        <v>6.141</v>
      </c>
      <c r="M247" s="16">
        <v>100</v>
      </c>
      <c r="N247" s="16">
        <v>60</v>
      </c>
      <c r="O247" s="16">
        <v>100</v>
      </c>
      <c r="P247" s="16">
        <v>60</v>
      </c>
      <c r="Q247" s="19">
        <v>2450</v>
      </c>
      <c r="R247" s="19">
        <v>2910</v>
      </c>
      <c r="S247" s="19">
        <v>3369</v>
      </c>
      <c r="T247" s="19">
        <v>3829</v>
      </c>
      <c r="U247" s="12"/>
    </row>
    <row r="248" spans="1:21" s="7" customFormat="1" x14ac:dyDescent="0.35">
      <c r="A248" s="7" t="s">
        <v>37</v>
      </c>
      <c r="B248" s="16">
        <v>20</v>
      </c>
      <c r="C248" s="16">
        <v>133</v>
      </c>
      <c r="D248" s="16">
        <v>0.63500000000000001</v>
      </c>
      <c r="E248" s="16">
        <v>16.13</v>
      </c>
      <c r="F248" s="17">
        <v>18.542999999999999</v>
      </c>
      <c r="G248" s="17"/>
      <c r="H248" s="16" t="s">
        <v>16</v>
      </c>
      <c r="I248" s="18">
        <v>18.846</v>
      </c>
      <c r="J248" s="18">
        <v>21.012</v>
      </c>
      <c r="K248" s="18">
        <v>16.260000000000002</v>
      </c>
      <c r="L248" s="18">
        <v>7.125</v>
      </c>
      <c r="M248" s="16">
        <v>100</v>
      </c>
      <c r="N248" s="16">
        <v>60</v>
      </c>
      <c r="O248" s="16">
        <v>100</v>
      </c>
      <c r="P248" s="16">
        <v>60</v>
      </c>
      <c r="Q248" s="19">
        <v>3090</v>
      </c>
      <c r="R248" s="19">
        <v>3670</v>
      </c>
      <c r="S248" s="19">
        <v>4249</v>
      </c>
      <c r="T248" s="19">
        <v>4829</v>
      </c>
      <c r="U248" s="12"/>
    </row>
    <row r="249" spans="1:21" s="7" customFormat="1" x14ac:dyDescent="0.35">
      <c r="A249" s="7" t="s">
        <v>37</v>
      </c>
      <c r="B249" s="16">
        <v>20</v>
      </c>
      <c r="C249" s="16">
        <v>147</v>
      </c>
      <c r="D249" s="16">
        <v>0.70899999999999996</v>
      </c>
      <c r="E249" s="16">
        <v>18.010000000000002</v>
      </c>
      <c r="F249" s="17">
        <v>18.395</v>
      </c>
      <c r="G249" s="17"/>
      <c r="H249" s="16" t="s">
        <v>16</v>
      </c>
      <c r="I249" s="18">
        <v>18.899999999999999</v>
      </c>
      <c r="J249" s="18">
        <v>21.111000000000001</v>
      </c>
      <c r="K249" s="18">
        <v>17.28</v>
      </c>
      <c r="L249" s="18">
        <v>7.6369999999999996</v>
      </c>
      <c r="M249" s="16">
        <v>100</v>
      </c>
      <c r="N249" s="16">
        <v>60</v>
      </c>
      <c r="O249" s="16">
        <v>100</v>
      </c>
      <c r="P249" s="16">
        <v>60</v>
      </c>
      <c r="Q249" s="19">
        <v>3438</v>
      </c>
      <c r="R249" s="19">
        <v>4082</v>
      </c>
      <c r="S249" s="19">
        <v>4727</v>
      </c>
      <c r="T249" s="19">
        <v>5371</v>
      </c>
      <c r="U249" s="12"/>
    </row>
    <row r="250" spans="1:21" s="7" customFormat="1" x14ac:dyDescent="0.35">
      <c r="A250" s="7" t="s">
        <v>37</v>
      </c>
      <c r="B250" s="16">
        <v>20</v>
      </c>
      <c r="C250" s="16">
        <v>155.5</v>
      </c>
      <c r="D250" s="16">
        <v>0.75</v>
      </c>
      <c r="E250" s="16">
        <v>19.05</v>
      </c>
      <c r="F250" s="17">
        <v>18.312999999999999</v>
      </c>
      <c r="G250" s="17"/>
      <c r="H250" s="16" t="s">
        <v>16</v>
      </c>
      <c r="I250" s="18">
        <v>18.829000000000001</v>
      </c>
      <c r="J250" s="18">
        <v>21.166</v>
      </c>
      <c r="K250" s="18">
        <v>17.91</v>
      </c>
      <c r="L250" s="18">
        <v>7.952</v>
      </c>
      <c r="M250" s="16">
        <v>100</v>
      </c>
      <c r="N250" s="16">
        <v>60</v>
      </c>
      <c r="O250" s="16">
        <v>100</v>
      </c>
      <c r="P250" s="16">
        <v>60</v>
      </c>
      <c r="Q250" s="19">
        <v>3629</v>
      </c>
      <c r="R250" s="19">
        <v>4309</v>
      </c>
      <c r="S250" s="19">
        <v>4989</v>
      </c>
      <c r="T250" s="19">
        <v>5670</v>
      </c>
      <c r="U250" s="12"/>
    </row>
    <row r="251" spans="1:21" s="7" customFormat="1" x14ac:dyDescent="0.35">
      <c r="A251" s="7" t="s">
        <v>39</v>
      </c>
      <c r="B251" s="20">
        <v>7.75</v>
      </c>
      <c r="C251" s="16">
        <v>46.1</v>
      </c>
      <c r="D251" s="16">
        <v>0.59499999999999997</v>
      </c>
      <c r="E251" s="16">
        <v>15.11</v>
      </c>
      <c r="F251" s="17">
        <v>6.4349999999999996</v>
      </c>
      <c r="G251" s="17"/>
      <c r="H251" s="16" t="s">
        <v>16</v>
      </c>
      <c r="I251" s="18">
        <v>6.5389999999999997</v>
      </c>
      <c r="J251" s="18">
        <v>8.0150000000000006</v>
      </c>
      <c r="K251" s="16"/>
      <c r="L251" s="18">
        <v>7.149</v>
      </c>
      <c r="M251" s="16"/>
      <c r="N251" s="16">
        <v>75.599999999999994</v>
      </c>
      <c r="O251" s="16"/>
      <c r="P251" s="16">
        <v>75.599999999999994</v>
      </c>
      <c r="Q251" s="19"/>
      <c r="R251" s="19"/>
      <c r="S251" s="19"/>
      <c r="T251" s="19">
        <v>1264</v>
      </c>
      <c r="U251" s="12"/>
    </row>
    <row r="252" spans="1:21" s="7" customFormat="1" x14ac:dyDescent="0.35">
      <c r="A252" s="7" t="s">
        <v>39</v>
      </c>
      <c r="B252" s="20">
        <f>9+5/8</f>
        <v>9.625</v>
      </c>
      <c r="C252" s="16">
        <v>53.5</v>
      </c>
      <c r="D252" s="16">
        <v>0.54500000000000004</v>
      </c>
      <c r="E252" s="16">
        <v>13.84</v>
      </c>
      <c r="F252" s="17">
        <v>8.5</v>
      </c>
      <c r="G252" s="17" t="s">
        <v>41</v>
      </c>
      <c r="H252" s="16" t="s">
        <v>16</v>
      </c>
      <c r="I252" s="18">
        <v>8.5350000000000001</v>
      </c>
      <c r="J252" s="18">
        <v>9.9600000000000009</v>
      </c>
      <c r="K252" s="16"/>
      <c r="L252" s="18">
        <v>6.6310000000000002</v>
      </c>
      <c r="M252" s="16"/>
      <c r="N252" s="16">
        <v>70.5</v>
      </c>
      <c r="O252" s="16"/>
      <c r="P252" s="16">
        <v>70.5</v>
      </c>
      <c r="Q252" s="19">
        <v>877</v>
      </c>
      <c r="R252" s="19">
        <v>1041</v>
      </c>
      <c r="S252" s="19">
        <v>1206</v>
      </c>
      <c r="T252" s="19">
        <v>1370</v>
      </c>
      <c r="U252" s="12"/>
    </row>
    <row r="253" spans="1:21" s="7" customFormat="1" x14ac:dyDescent="0.35">
      <c r="A253" s="7" t="s">
        <v>39</v>
      </c>
      <c r="B253" s="20">
        <f>9+7/8</f>
        <v>9.875</v>
      </c>
      <c r="C253" s="16">
        <v>62.8</v>
      </c>
      <c r="D253" s="16">
        <v>0.625</v>
      </c>
      <c r="E253" s="16">
        <v>15.88</v>
      </c>
      <c r="F253" s="17">
        <v>8.5</v>
      </c>
      <c r="G253" s="17" t="s">
        <v>42</v>
      </c>
      <c r="H253" s="16" t="s">
        <v>16</v>
      </c>
      <c r="I253" s="18">
        <v>8.5359999999999996</v>
      </c>
      <c r="J253" s="18">
        <v>10.130000000000001</v>
      </c>
      <c r="K253" s="16"/>
      <c r="L253" s="18">
        <v>6.7869999999999999</v>
      </c>
      <c r="M253" s="16"/>
      <c r="N253" s="16">
        <v>74.400000000000006</v>
      </c>
      <c r="O253" s="16"/>
      <c r="P253" s="16">
        <v>74.400000000000006</v>
      </c>
      <c r="Q253" s="19">
        <v>1081</v>
      </c>
      <c r="R253" s="19">
        <v>1284</v>
      </c>
      <c r="S253" s="19">
        <v>1486</v>
      </c>
      <c r="T253" s="19">
        <v>1689</v>
      </c>
      <c r="U253" s="19">
        <v>1892</v>
      </c>
    </row>
    <row r="254" spans="1:21" s="7" customFormat="1" x14ac:dyDescent="0.35">
      <c r="A254" s="7" t="s">
        <v>39</v>
      </c>
      <c r="B254" s="20">
        <f t="shared" ref="B254:B255" si="10">9+7/8</f>
        <v>9.875</v>
      </c>
      <c r="C254" s="16">
        <v>65.3</v>
      </c>
      <c r="D254" s="16">
        <v>0.65</v>
      </c>
      <c r="E254" s="16">
        <v>16.510000000000002</v>
      </c>
      <c r="F254" s="17">
        <v>8.5</v>
      </c>
      <c r="G254" s="17" t="s">
        <v>42</v>
      </c>
      <c r="H254" s="16" t="s">
        <v>16</v>
      </c>
      <c r="I254" s="18">
        <v>8.5359999999999996</v>
      </c>
      <c r="J254" s="18">
        <v>10.164999999999999</v>
      </c>
      <c r="K254" s="16"/>
      <c r="L254" s="18">
        <v>7.1619999999999999</v>
      </c>
      <c r="M254" s="16"/>
      <c r="N254" s="16">
        <v>75.8</v>
      </c>
      <c r="O254" s="16"/>
      <c r="P254" s="16">
        <v>75.8</v>
      </c>
      <c r="Q254" s="19"/>
      <c r="R254" s="19"/>
      <c r="S254" s="19">
        <v>1571</v>
      </c>
      <c r="T254" s="19">
        <v>1785</v>
      </c>
      <c r="U254" s="19">
        <v>1999</v>
      </c>
    </row>
    <row r="255" spans="1:21" s="7" customFormat="1" x14ac:dyDescent="0.35">
      <c r="A255" s="7" t="s">
        <v>39</v>
      </c>
      <c r="B255" s="20">
        <f t="shared" si="10"/>
        <v>9.875</v>
      </c>
      <c r="C255" s="16">
        <v>66.900000000000006</v>
      </c>
      <c r="D255" s="16">
        <v>0.66800000000000004</v>
      </c>
      <c r="E255" s="16">
        <v>16.97</v>
      </c>
      <c r="F255" s="17">
        <v>8.5</v>
      </c>
      <c r="G255" s="17" t="s">
        <v>42</v>
      </c>
      <c r="H255" s="16" t="s">
        <v>16</v>
      </c>
      <c r="I255" s="18">
        <v>8.5359999999999996</v>
      </c>
      <c r="J255" s="18">
        <v>10.164999999999999</v>
      </c>
      <c r="K255" s="16"/>
      <c r="L255" s="18">
        <v>7.2220000000000004</v>
      </c>
      <c r="M255" s="16"/>
      <c r="N255" s="16">
        <v>73.3</v>
      </c>
      <c r="O255" s="16"/>
      <c r="P255" s="16">
        <v>73.3</v>
      </c>
      <c r="Q255" s="19"/>
      <c r="R255" s="19"/>
      <c r="S255" s="19">
        <v>1568</v>
      </c>
      <c r="T255" s="19">
        <v>1782</v>
      </c>
      <c r="U255" s="19">
        <v>1995</v>
      </c>
    </row>
    <row r="256" spans="1:21" s="7" customFormat="1" x14ac:dyDescent="0.35">
      <c r="A256" s="7" t="s">
        <v>39</v>
      </c>
      <c r="B256" s="20">
        <v>10</v>
      </c>
      <c r="C256" s="16">
        <v>67.2</v>
      </c>
      <c r="D256" s="16">
        <v>0.67200000000000004</v>
      </c>
      <c r="E256" s="16">
        <v>17.07</v>
      </c>
      <c r="F256" s="17">
        <v>8.5</v>
      </c>
      <c r="G256" s="17"/>
      <c r="H256" s="16" t="s">
        <v>16</v>
      </c>
      <c r="I256" s="18">
        <v>8.5359999999999996</v>
      </c>
      <c r="J256" s="18">
        <v>10.315</v>
      </c>
      <c r="K256" s="16"/>
      <c r="L256" s="18">
        <v>7.2149999999999999</v>
      </c>
      <c r="M256" s="16"/>
      <c r="N256" s="16">
        <v>76.400000000000006</v>
      </c>
      <c r="O256" s="16"/>
      <c r="P256" s="16">
        <v>76.400000000000006</v>
      </c>
      <c r="Q256" s="19"/>
      <c r="R256" s="19"/>
      <c r="S256" s="19">
        <v>1655</v>
      </c>
      <c r="T256" s="19">
        <v>1881</v>
      </c>
      <c r="U256" s="19">
        <v>2106</v>
      </c>
    </row>
    <row r="257" spans="1:21" s="7" customFormat="1" x14ac:dyDescent="0.35">
      <c r="A257" s="7" t="s">
        <v>39</v>
      </c>
      <c r="B257" s="20">
        <v>10</v>
      </c>
      <c r="C257" s="16">
        <v>68.7</v>
      </c>
      <c r="D257" s="16">
        <v>0.68799999999999994</v>
      </c>
      <c r="E257" s="16">
        <v>17.48</v>
      </c>
      <c r="F257" s="17">
        <v>8.5</v>
      </c>
      <c r="G257" s="17" t="s">
        <v>42</v>
      </c>
      <c r="H257" s="16" t="s">
        <v>16</v>
      </c>
      <c r="I257" s="18">
        <v>8.5359999999999996</v>
      </c>
      <c r="J257" s="18">
        <v>10.315</v>
      </c>
      <c r="K257" s="16"/>
      <c r="L257" s="18">
        <v>7.452</v>
      </c>
      <c r="M257" s="16"/>
      <c r="N257" s="16">
        <v>77</v>
      </c>
      <c r="O257" s="16"/>
      <c r="P257" s="16">
        <v>77</v>
      </c>
      <c r="Q257" s="19"/>
      <c r="R257" s="19"/>
      <c r="S257" s="19">
        <v>1705</v>
      </c>
      <c r="T257" s="19">
        <v>1937</v>
      </c>
      <c r="U257" s="19">
        <v>2170</v>
      </c>
    </row>
    <row r="258" spans="1:21" s="7" customFormat="1" x14ac:dyDescent="0.35">
      <c r="A258" s="7" t="s">
        <v>39</v>
      </c>
      <c r="B258" s="20">
        <v>10.175000000000001</v>
      </c>
      <c r="C258" s="16">
        <v>81</v>
      </c>
      <c r="D258" s="16">
        <v>0.8</v>
      </c>
      <c r="E258" s="16">
        <v>20.32</v>
      </c>
      <c r="F258" s="17">
        <v>8.5</v>
      </c>
      <c r="G258" s="17" t="s">
        <v>42</v>
      </c>
      <c r="H258" s="16" t="s">
        <v>16</v>
      </c>
      <c r="I258" s="18">
        <v>8.5359999999999996</v>
      </c>
      <c r="J258" s="18">
        <v>10.364000000000001</v>
      </c>
      <c r="K258" s="16"/>
      <c r="L258" s="18">
        <v>8.2759999999999998</v>
      </c>
      <c r="M258" s="16"/>
      <c r="N258" s="16">
        <v>70</v>
      </c>
      <c r="O258" s="16"/>
      <c r="P258" s="16">
        <v>70</v>
      </c>
      <c r="Q258" s="19"/>
      <c r="R258" s="19"/>
      <c r="S258" s="19"/>
      <c r="T258" s="19">
        <v>2062</v>
      </c>
      <c r="U258" s="12"/>
    </row>
    <row r="259" spans="1:21" s="7" customFormat="1" x14ac:dyDescent="0.35">
      <c r="A259" s="7" t="s">
        <v>39</v>
      </c>
      <c r="B259" s="20">
        <v>10.75</v>
      </c>
      <c r="C259" s="16">
        <v>60.7</v>
      </c>
      <c r="D259" s="16">
        <v>0.54500000000000004</v>
      </c>
      <c r="E259" s="16">
        <v>13.84</v>
      </c>
      <c r="F259" s="17">
        <v>9.5039999999999996</v>
      </c>
      <c r="G259" s="17"/>
      <c r="H259" s="16" t="s">
        <v>16</v>
      </c>
      <c r="I259" s="18">
        <v>9.5389999999999997</v>
      </c>
      <c r="J259" s="18">
        <v>10.962</v>
      </c>
      <c r="K259" s="16"/>
      <c r="L259" s="18">
        <v>6.7679999999999998</v>
      </c>
      <c r="M259" s="16"/>
      <c r="N259" s="16">
        <v>71.5</v>
      </c>
      <c r="O259" s="16"/>
      <c r="P259" s="16">
        <v>71.5</v>
      </c>
      <c r="Q259" s="19">
        <v>999</v>
      </c>
      <c r="R259" s="19">
        <v>1187</v>
      </c>
      <c r="S259" s="19">
        <v>1374</v>
      </c>
      <c r="T259" s="19">
        <v>1562</v>
      </c>
      <c r="U259" s="12"/>
    </row>
    <row r="260" spans="1:21" s="7" customFormat="1" x14ac:dyDescent="0.35">
      <c r="A260" s="7" t="s">
        <v>39</v>
      </c>
      <c r="B260" s="20">
        <v>10.75</v>
      </c>
      <c r="C260" s="16">
        <v>65.7</v>
      </c>
      <c r="D260" s="16">
        <v>0.59499999999999997</v>
      </c>
      <c r="E260" s="16">
        <v>15.11</v>
      </c>
      <c r="F260" s="17">
        <v>9.5</v>
      </c>
      <c r="G260" s="17" t="s">
        <v>42</v>
      </c>
      <c r="H260" s="16" t="s">
        <v>16</v>
      </c>
      <c r="I260" s="18">
        <v>9.5359999999999996</v>
      </c>
      <c r="J260" s="18">
        <v>11.002000000000001</v>
      </c>
      <c r="K260" s="16"/>
      <c r="L260" s="18">
        <v>6.7830000000000004</v>
      </c>
      <c r="M260" s="16"/>
      <c r="N260" s="16">
        <v>72.900000000000006</v>
      </c>
      <c r="O260" s="16"/>
      <c r="P260" s="16">
        <v>72.900000000000006</v>
      </c>
      <c r="Q260" s="19">
        <v>1107</v>
      </c>
      <c r="R260" s="19">
        <v>1315</v>
      </c>
      <c r="S260" s="19">
        <v>1522</v>
      </c>
      <c r="T260" s="19">
        <v>1730</v>
      </c>
      <c r="U260" s="12"/>
    </row>
    <row r="261" spans="1:21" s="7" customFormat="1" x14ac:dyDescent="0.35">
      <c r="A261" s="7" t="s">
        <v>39</v>
      </c>
      <c r="B261" s="20">
        <v>10.75</v>
      </c>
      <c r="C261" s="16">
        <v>85.3</v>
      </c>
      <c r="D261" s="16">
        <v>0.79700000000000004</v>
      </c>
      <c r="E261" s="16">
        <v>20.239999999999998</v>
      </c>
      <c r="F261" s="17">
        <v>9</v>
      </c>
      <c r="G261" s="17"/>
      <c r="H261" s="16" t="s">
        <v>16</v>
      </c>
      <c r="I261" s="18">
        <v>9.0359999999999996</v>
      </c>
      <c r="J261" s="18">
        <v>11.093</v>
      </c>
      <c r="K261" s="16"/>
      <c r="L261" s="18">
        <v>8.2620000000000005</v>
      </c>
      <c r="M261" s="16"/>
      <c r="N261" s="16">
        <v>78</v>
      </c>
      <c r="O261" s="16"/>
      <c r="P261" s="16">
        <v>78</v>
      </c>
      <c r="Q261" s="19"/>
      <c r="R261" s="19"/>
      <c r="S261" s="19">
        <v>2138</v>
      </c>
      <c r="T261" s="19">
        <v>2430</v>
      </c>
      <c r="U261" s="19">
        <v>2721</v>
      </c>
    </row>
    <row r="262" spans="1:21" s="7" customFormat="1" x14ac:dyDescent="0.35">
      <c r="A262" s="7" t="s">
        <v>39</v>
      </c>
      <c r="B262" s="20">
        <f>10+7/8</f>
        <v>10.875</v>
      </c>
      <c r="C262" s="16">
        <v>72</v>
      </c>
      <c r="D262" s="16">
        <v>0.65600000000000003</v>
      </c>
      <c r="E262" s="16">
        <v>16.66</v>
      </c>
      <c r="F262" s="17">
        <v>9.5</v>
      </c>
      <c r="G262" s="17" t="s">
        <v>42</v>
      </c>
      <c r="H262" s="16" t="s">
        <v>16</v>
      </c>
      <c r="I262" s="18">
        <v>9.5359999999999996</v>
      </c>
      <c r="J262" s="18">
        <v>11.223000000000001</v>
      </c>
      <c r="K262" s="16"/>
      <c r="L262" s="18">
        <v>7.141</v>
      </c>
      <c r="M262" s="16"/>
      <c r="N262" s="16">
        <v>73.5</v>
      </c>
      <c r="O262" s="16"/>
      <c r="P262" s="16">
        <v>73.5</v>
      </c>
      <c r="Q262" s="19"/>
      <c r="R262" s="19"/>
      <c r="S262" s="19">
        <v>1703</v>
      </c>
      <c r="T262" s="19">
        <v>1935</v>
      </c>
      <c r="U262" s="19">
        <v>2167</v>
      </c>
    </row>
    <row r="263" spans="1:21" s="7" customFormat="1" x14ac:dyDescent="0.35">
      <c r="A263" s="7" t="s">
        <v>39</v>
      </c>
      <c r="B263" s="20">
        <v>11.75</v>
      </c>
      <c r="C263" s="16">
        <v>60</v>
      </c>
      <c r="D263" s="16">
        <v>0.48899999999999999</v>
      </c>
      <c r="E263" s="16">
        <v>12.42</v>
      </c>
      <c r="F263" s="17">
        <v>10.625</v>
      </c>
      <c r="G263" s="17" t="s">
        <v>41</v>
      </c>
      <c r="H263" s="16" t="s">
        <v>16</v>
      </c>
      <c r="I263" s="18">
        <v>10.661</v>
      </c>
      <c r="J263" s="18">
        <v>11.961</v>
      </c>
      <c r="K263" s="16"/>
      <c r="L263" s="18">
        <v>6.2640000000000002</v>
      </c>
      <c r="M263" s="16"/>
      <c r="N263" s="16">
        <v>68.5</v>
      </c>
      <c r="O263" s="16"/>
      <c r="P263" s="16">
        <v>68.5</v>
      </c>
      <c r="Q263" s="19">
        <v>948</v>
      </c>
      <c r="R263" s="19">
        <v>1126</v>
      </c>
      <c r="S263" s="19">
        <v>1304</v>
      </c>
      <c r="T263" s="19">
        <v>1481</v>
      </c>
      <c r="U263" s="12"/>
    </row>
    <row r="264" spans="1:21" s="7" customFormat="1" x14ac:dyDescent="0.35">
      <c r="A264" s="7" t="s">
        <v>39</v>
      </c>
      <c r="B264" s="20">
        <v>11.75</v>
      </c>
      <c r="C264" s="16">
        <v>65</v>
      </c>
      <c r="D264" s="16">
        <v>0.53400000000000003</v>
      </c>
      <c r="E264" s="16">
        <v>13.56</v>
      </c>
      <c r="F264" s="17">
        <v>10.625</v>
      </c>
      <c r="G264" s="17" t="s">
        <v>41</v>
      </c>
      <c r="H264" s="16" t="s">
        <v>16</v>
      </c>
      <c r="I264" s="18">
        <v>10.661</v>
      </c>
      <c r="J264" s="18">
        <v>11.961</v>
      </c>
      <c r="K264" s="16"/>
      <c r="L264" s="18">
        <v>6.6680000000000001</v>
      </c>
      <c r="M264" s="16"/>
      <c r="N264" s="16">
        <v>71.3</v>
      </c>
      <c r="O264" s="16"/>
      <c r="P264" s="16">
        <v>71.3</v>
      </c>
      <c r="Q264" s="19">
        <v>1073</v>
      </c>
      <c r="R264" s="19">
        <v>1275</v>
      </c>
      <c r="S264" s="19">
        <v>1476</v>
      </c>
      <c r="T264" s="19">
        <v>1677</v>
      </c>
      <c r="U264" s="12"/>
    </row>
    <row r="265" spans="1:21" s="7" customFormat="1" x14ac:dyDescent="0.35">
      <c r="A265" s="7" t="s">
        <v>39</v>
      </c>
      <c r="B265" s="20">
        <f>11+7/8</f>
        <v>11.875</v>
      </c>
      <c r="C265" s="16">
        <v>71.8</v>
      </c>
      <c r="D265" s="16">
        <v>0.58199999999999996</v>
      </c>
      <c r="E265" s="16">
        <v>14.78</v>
      </c>
      <c r="F265" s="17">
        <v>10.625</v>
      </c>
      <c r="G265" s="17" t="s">
        <v>42</v>
      </c>
      <c r="H265" s="16" t="s">
        <v>16</v>
      </c>
      <c r="I265" s="18">
        <v>10.661</v>
      </c>
      <c r="J265" s="18">
        <v>12.095000000000001</v>
      </c>
      <c r="K265" s="16"/>
      <c r="L265" s="18">
        <v>6.3090000000000002</v>
      </c>
      <c r="M265" s="16"/>
      <c r="N265" s="16">
        <v>72.599999999999994</v>
      </c>
      <c r="O265" s="16"/>
      <c r="P265" s="16">
        <v>72.599999999999994</v>
      </c>
      <c r="Q265" s="19">
        <v>1199</v>
      </c>
      <c r="R265" s="19">
        <v>1424</v>
      </c>
      <c r="S265" s="19">
        <v>1649</v>
      </c>
      <c r="T265" s="19">
        <v>1874</v>
      </c>
      <c r="U265" s="12"/>
    </row>
    <row r="266" spans="1:21" s="7" customFormat="1" x14ac:dyDescent="0.35">
      <c r="A266" s="7" t="s">
        <v>39</v>
      </c>
      <c r="B266" s="20">
        <f>13+5/8</f>
        <v>13.625</v>
      </c>
      <c r="C266" s="16">
        <v>88.2</v>
      </c>
      <c r="D266" s="16">
        <v>0.625</v>
      </c>
      <c r="E266" s="16">
        <v>15.88</v>
      </c>
      <c r="F266" s="17">
        <v>12.25</v>
      </c>
      <c r="G266" s="17" t="s">
        <v>42</v>
      </c>
      <c r="H266" s="16" t="s">
        <v>16</v>
      </c>
      <c r="I266" s="18">
        <v>12.287000000000001</v>
      </c>
      <c r="J266" s="18">
        <v>13.887</v>
      </c>
      <c r="K266" s="16"/>
      <c r="L266" s="18">
        <v>6.8129999999999997</v>
      </c>
      <c r="M266" s="16"/>
      <c r="N266" s="16">
        <v>73</v>
      </c>
      <c r="O266" s="16"/>
      <c r="P266" s="16">
        <v>73</v>
      </c>
      <c r="Q266" s="19">
        <v>1491</v>
      </c>
      <c r="R266" s="19">
        <v>1770</v>
      </c>
      <c r="S266" s="19">
        <v>2050</v>
      </c>
      <c r="T266" s="19">
        <v>2329</v>
      </c>
      <c r="U266" s="12"/>
    </row>
    <row r="267" spans="1:21" s="7" customFormat="1" x14ac:dyDescent="0.35">
      <c r="A267" s="7" t="s">
        <v>39</v>
      </c>
      <c r="B267" s="20">
        <f>13+3/4</f>
        <v>13.75</v>
      </c>
      <c r="C267" s="16">
        <v>99.5</v>
      </c>
      <c r="D267" s="16">
        <v>0.70699999999999996</v>
      </c>
      <c r="E267" s="16">
        <v>17.96</v>
      </c>
      <c r="F267" s="17">
        <v>12.25</v>
      </c>
      <c r="G267" s="17" t="s">
        <v>42</v>
      </c>
      <c r="H267" s="16" t="s">
        <v>16</v>
      </c>
      <c r="I267" s="18">
        <v>12.286</v>
      </c>
      <c r="J267" s="18">
        <v>14.157</v>
      </c>
      <c r="K267" s="16"/>
      <c r="L267" s="18">
        <v>7.6139999999999999</v>
      </c>
      <c r="M267" s="16"/>
      <c r="N267" s="16">
        <v>70.2</v>
      </c>
      <c r="O267" s="16"/>
      <c r="P267" s="16">
        <v>70.2</v>
      </c>
      <c r="Q267" s="19"/>
      <c r="R267" s="19"/>
      <c r="S267" s="19"/>
      <c r="T267" s="19"/>
      <c r="U267" s="19">
        <v>2847</v>
      </c>
    </row>
    <row r="268" spans="1:21" s="7" customFormat="1" x14ac:dyDescent="0.35">
      <c r="A268" s="7" t="s">
        <v>39</v>
      </c>
      <c r="B268" s="20">
        <f>13+7/8</f>
        <v>13.875</v>
      </c>
      <c r="C268" s="16">
        <v>107</v>
      </c>
      <c r="D268" s="16">
        <v>0.755</v>
      </c>
      <c r="E268" s="16">
        <v>19.18</v>
      </c>
      <c r="F268" s="17">
        <v>12.259</v>
      </c>
      <c r="G268" s="17" t="s">
        <v>42</v>
      </c>
      <c r="H268" s="16" t="s">
        <v>16</v>
      </c>
      <c r="I268" s="18">
        <v>12.286</v>
      </c>
      <c r="J268" s="18">
        <v>14.157</v>
      </c>
      <c r="K268" s="16"/>
      <c r="L268" s="18">
        <v>8.1150000000000002</v>
      </c>
      <c r="M268" s="16"/>
      <c r="N268" s="16">
        <v>69.599999999999994</v>
      </c>
      <c r="O268" s="16"/>
      <c r="P268" s="16">
        <v>69.599999999999994</v>
      </c>
      <c r="Q268" s="19"/>
      <c r="R268" s="19"/>
      <c r="S268" s="19"/>
      <c r="T268" s="19"/>
      <c r="U268" s="19">
        <v>3032</v>
      </c>
    </row>
    <row r="269" spans="1:21" s="7" customFormat="1" x14ac:dyDescent="0.35">
      <c r="A269" s="7" t="s">
        <v>39</v>
      </c>
      <c r="B269" s="20">
        <v>14</v>
      </c>
      <c r="C269" s="16">
        <v>115</v>
      </c>
      <c r="D269" s="16">
        <v>0.81200000000000006</v>
      </c>
      <c r="E269" s="16">
        <v>20.62</v>
      </c>
      <c r="F269" s="17">
        <v>12.25</v>
      </c>
      <c r="G269" s="17" t="s">
        <v>42</v>
      </c>
      <c r="H269" s="16" t="s">
        <v>16</v>
      </c>
      <c r="I269" s="18">
        <v>12.284000000000001</v>
      </c>
      <c r="J269" s="18">
        <v>14.321999999999999</v>
      </c>
      <c r="K269" s="16"/>
      <c r="L269" s="18">
        <v>8.5359999999999996</v>
      </c>
      <c r="M269" s="16"/>
      <c r="N269" s="16">
        <v>73.8</v>
      </c>
      <c r="O269" s="16"/>
      <c r="P269" s="16">
        <v>73.8</v>
      </c>
      <c r="Q269" s="19"/>
      <c r="R269" s="19">
        <v>2359</v>
      </c>
      <c r="S269" s="19">
        <v>2731</v>
      </c>
      <c r="T269" s="19">
        <v>3103</v>
      </c>
      <c r="U269" s="19">
        <v>3476</v>
      </c>
    </row>
    <row r="270" spans="1:21" s="7" customFormat="1" x14ac:dyDescent="0.35">
      <c r="A270" s="7" t="s">
        <v>39</v>
      </c>
      <c r="B270" s="20">
        <v>14</v>
      </c>
      <c r="C270" s="16">
        <v>116</v>
      </c>
      <c r="D270" s="16">
        <v>0.82</v>
      </c>
      <c r="E270" s="16">
        <v>20.83</v>
      </c>
      <c r="F270" s="17">
        <v>12.25</v>
      </c>
      <c r="G270" s="17" t="s">
        <v>42</v>
      </c>
      <c r="H270" s="16" t="s">
        <v>16</v>
      </c>
      <c r="I270" s="18">
        <v>12.284000000000001</v>
      </c>
      <c r="J270" s="18">
        <v>14.321999999999999</v>
      </c>
      <c r="K270" s="16"/>
      <c r="L270" s="18">
        <v>8.5359999999999996</v>
      </c>
      <c r="M270" s="16"/>
      <c r="N270" s="16">
        <v>73.099999999999994</v>
      </c>
      <c r="O270" s="16"/>
      <c r="P270" s="16">
        <v>73.099999999999994</v>
      </c>
      <c r="Q270" s="19"/>
      <c r="R270" s="19">
        <v>2358</v>
      </c>
      <c r="S270" s="19">
        <v>2730</v>
      </c>
      <c r="T270" s="19">
        <v>3102</v>
      </c>
      <c r="U270" s="19">
        <v>3475</v>
      </c>
    </row>
    <row r="271" spans="1:21" s="7" customFormat="1" x14ac:dyDescent="0.35">
      <c r="A271" s="7" t="s">
        <v>39</v>
      </c>
      <c r="B271" s="20">
        <v>14.15</v>
      </c>
      <c r="C271" s="16">
        <v>127.5</v>
      </c>
      <c r="D271" s="16">
        <v>0.89500000000000002</v>
      </c>
      <c r="E271" s="16">
        <v>22.73</v>
      </c>
      <c r="F271" s="17">
        <v>12.25</v>
      </c>
      <c r="G271" s="17" t="s">
        <v>42</v>
      </c>
      <c r="H271" s="16" t="s">
        <v>16</v>
      </c>
      <c r="I271" s="18">
        <v>12.286</v>
      </c>
      <c r="J271" s="18">
        <v>14.305999999999999</v>
      </c>
      <c r="K271" s="16"/>
      <c r="L271" s="18">
        <v>9.1679999999999993</v>
      </c>
      <c r="M271" s="16"/>
      <c r="N271" s="16">
        <v>66.7</v>
      </c>
      <c r="O271" s="16"/>
      <c r="P271" s="16">
        <v>66.7</v>
      </c>
      <c r="Q271" s="19"/>
      <c r="R271" s="19"/>
      <c r="S271" s="19"/>
      <c r="T271" s="19">
        <v>3107</v>
      </c>
      <c r="U271" s="19">
        <v>3480</v>
      </c>
    </row>
    <row r="272" spans="1:21" s="7" customFormat="1" x14ac:dyDescent="0.35">
      <c r="A272" s="7" t="s">
        <v>39</v>
      </c>
      <c r="B272" s="20">
        <v>16</v>
      </c>
      <c r="C272" s="16">
        <v>97</v>
      </c>
      <c r="D272" s="16">
        <v>0.57499999999999996</v>
      </c>
      <c r="E272" s="16">
        <v>14.6</v>
      </c>
      <c r="F272" s="17">
        <v>14.75</v>
      </c>
      <c r="G272" s="17" t="s">
        <v>42</v>
      </c>
      <c r="H272" s="16" t="s">
        <v>16</v>
      </c>
      <c r="I272" s="18">
        <v>14.813000000000001</v>
      </c>
      <c r="J272" s="18">
        <v>16.305</v>
      </c>
      <c r="K272" s="16"/>
      <c r="L272" s="18">
        <v>7.1180000000000003</v>
      </c>
      <c r="M272" s="16"/>
      <c r="N272" s="16">
        <v>68</v>
      </c>
      <c r="O272" s="16"/>
      <c r="P272" s="16">
        <v>68</v>
      </c>
      <c r="Q272" s="19">
        <v>1516</v>
      </c>
      <c r="R272" s="19">
        <v>1800</v>
      </c>
      <c r="S272" s="19">
        <v>2084</v>
      </c>
      <c r="T272" s="19">
        <v>2368</v>
      </c>
      <c r="U272" s="19">
        <v>2653</v>
      </c>
    </row>
    <row r="273" spans="1:21" s="7" customFormat="1" x14ac:dyDescent="0.35">
      <c r="A273" s="7" t="s">
        <v>39</v>
      </c>
      <c r="B273" s="20">
        <v>16</v>
      </c>
      <c r="C273" s="16">
        <v>104</v>
      </c>
      <c r="D273" s="16">
        <v>0.625</v>
      </c>
      <c r="E273" s="16">
        <v>15.88</v>
      </c>
      <c r="F273" s="17">
        <v>14.563000000000001</v>
      </c>
      <c r="G273" s="17"/>
      <c r="H273" s="16" t="s">
        <v>16</v>
      </c>
      <c r="I273" s="18">
        <v>14.635999999999999</v>
      </c>
      <c r="J273" s="18">
        <v>16.305</v>
      </c>
      <c r="K273" s="16"/>
      <c r="L273" s="18">
        <v>7.3259999999999996</v>
      </c>
      <c r="M273" s="16"/>
      <c r="N273" s="16">
        <v>70.099999999999994</v>
      </c>
      <c r="O273" s="16"/>
      <c r="P273" s="16">
        <v>70.099999999999994</v>
      </c>
      <c r="Q273" s="19">
        <v>1693</v>
      </c>
      <c r="R273" s="19">
        <v>2010</v>
      </c>
      <c r="S273" s="19">
        <v>2328</v>
      </c>
      <c r="T273" s="19">
        <v>2645</v>
      </c>
      <c r="U273" s="19">
        <v>2963</v>
      </c>
    </row>
    <row r="274" spans="1:21" s="7" customFormat="1" x14ac:dyDescent="0.35">
      <c r="A274" s="7" t="s">
        <v>39</v>
      </c>
      <c r="B274" s="20">
        <v>16</v>
      </c>
      <c r="C274" s="16">
        <v>109</v>
      </c>
      <c r="D274" s="16">
        <v>0.65600000000000003</v>
      </c>
      <c r="E274" s="16">
        <v>16.66</v>
      </c>
      <c r="F274" s="17">
        <v>14.6</v>
      </c>
      <c r="G274" s="17" t="s">
        <v>42</v>
      </c>
      <c r="H274" s="16" t="s">
        <v>16</v>
      </c>
      <c r="I274" s="18">
        <v>14.673</v>
      </c>
      <c r="J274" s="18">
        <v>16.305</v>
      </c>
      <c r="K274" s="16"/>
      <c r="L274" s="18">
        <v>7.5949999999999998</v>
      </c>
      <c r="M274" s="16"/>
      <c r="N274" s="16">
        <v>70.900000000000006</v>
      </c>
      <c r="O274" s="16"/>
      <c r="P274" s="16">
        <v>70.900000000000006</v>
      </c>
      <c r="Q274" s="19">
        <v>1794</v>
      </c>
      <c r="R274" s="19">
        <v>2130</v>
      </c>
      <c r="S274" s="19">
        <v>2466</v>
      </c>
      <c r="T274" s="19">
        <v>2802</v>
      </c>
      <c r="U274" s="19">
        <v>3139</v>
      </c>
    </row>
    <row r="275" spans="1:21" s="7" customFormat="1" x14ac:dyDescent="0.35">
      <c r="A275" s="7" t="s">
        <v>39</v>
      </c>
      <c r="B275" s="20">
        <v>16.079999999999998</v>
      </c>
      <c r="C275" s="16">
        <v>111</v>
      </c>
      <c r="D275" s="16">
        <v>0.66700000000000004</v>
      </c>
      <c r="E275" s="16">
        <v>16.940000000000001</v>
      </c>
      <c r="F275" s="17">
        <v>14.6</v>
      </c>
      <c r="G275" s="17" t="s">
        <v>42</v>
      </c>
      <c r="H275" s="16" t="s">
        <v>16</v>
      </c>
      <c r="I275" s="18">
        <v>14.673</v>
      </c>
      <c r="J275" s="18">
        <v>16.305</v>
      </c>
      <c r="K275" s="16"/>
      <c r="L275" s="18">
        <v>7.8970000000000002</v>
      </c>
      <c r="M275" s="16"/>
      <c r="N275" s="16">
        <v>69.099999999999994</v>
      </c>
      <c r="O275" s="16"/>
      <c r="P275" s="16">
        <v>69.099999999999994</v>
      </c>
      <c r="Q275" s="19"/>
      <c r="R275" s="19"/>
      <c r="S275" s="19"/>
      <c r="T275" s="19">
        <v>2790</v>
      </c>
      <c r="U275" s="19">
        <v>3124</v>
      </c>
    </row>
    <row r="276" spans="1:21" s="7" customFormat="1" x14ac:dyDescent="0.35">
      <c r="A276" s="7" t="s">
        <v>39</v>
      </c>
      <c r="B276" s="20">
        <v>16.149999999999999</v>
      </c>
      <c r="C276" s="16">
        <v>120.5</v>
      </c>
      <c r="D276" s="16">
        <v>0.72299999999999998</v>
      </c>
      <c r="E276" s="16">
        <v>18.36</v>
      </c>
      <c r="F276" s="17">
        <v>14.6</v>
      </c>
      <c r="G276" s="17" t="s">
        <v>42</v>
      </c>
      <c r="H276" s="16" t="s">
        <v>16</v>
      </c>
      <c r="I276" s="18">
        <v>14.673</v>
      </c>
      <c r="J276" s="18">
        <v>16.396999999999998</v>
      </c>
      <c r="K276" s="16"/>
      <c r="L276" s="18">
        <v>7.883</v>
      </c>
      <c r="M276" s="16"/>
      <c r="N276" s="16">
        <v>69</v>
      </c>
      <c r="O276" s="16"/>
      <c r="P276" s="16">
        <v>69</v>
      </c>
      <c r="Q276" s="19"/>
      <c r="R276" s="19"/>
      <c r="S276" s="19"/>
      <c r="T276" s="19">
        <v>3022</v>
      </c>
      <c r="U276" s="19">
        <v>3385</v>
      </c>
    </row>
    <row r="277" spans="1:21" s="7" customFormat="1" x14ac:dyDescent="0.35">
      <c r="A277" s="7" t="s">
        <v>39</v>
      </c>
      <c r="B277" s="20">
        <v>16.149999999999999</v>
      </c>
      <c r="C277" s="16">
        <v>128</v>
      </c>
      <c r="D277" s="16">
        <v>0.77200000000000002</v>
      </c>
      <c r="E277" s="16">
        <v>19.61</v>
      </c>
      <c r="F277" s="17">
        <v>14.5</v>
      </c>
      <c r="G277" s="17" t="s">
        <v>42</v>
      </c>
      <c r="H277" s="16" t="s">
        <v>16</v>
      </c>
      <c r="I277" s="18">
        <v>14.573</v>
      </c>
      <c r="J277" s="18">
        <v>16.399000000000001</v>
      </c>
      <c r="K277" s="16"/>
      <c r="L277" s="18">
        <v>8.1180000000000003</v>
      </c>
      <c r="M277" s="16"/>
      <c r="N277" s="16">
        <v>69.099999999999994</v>
      </c>
      <c r="O277" s="16"/>
      <c r="P277" s="16">
        <v>69.099999999999994</v>
      </c>
      <c r="Q277" s="19"/>
      <c r="R277" s="19"/>
      <c r="S277" s="19"/>
      <c r="T277" s="19">
        <v>3221</v>
      </c>
      <c r="U277" s="19">
        <v>3608</v>
      </c>
    </row>
    <row r="278" spans="1:21" s="7" customFormat="1" x14ac:dyDescent="0.35">
      <c r="A278" s="7" t="s">
        <v>39</v>
      </c>
      <c r="B278" s="20">
        <v>16.2</v>
      </c>
      <c r="C278" s="16">
        <v>132.5</v>
      </c>
      <c r="D278" s="16">
        <v>0.8</v>
      </c>
      <c r="E278" s="16">
        <v>20.32</v>
      </c>
      <c r="F278" s="17">
        <v>14.5</v>
      </c>
      <c r="G278" s="17" t="s">
        <v>42</v>
      </c>
      <c r="H278" s="16" t="s">
        <v>16</v>
      </c>
      <c r="I278" s="18">
        <v>14.573</v>
      </c>
      <c r="J278" s="18">
        <v>16.399000000000001</v>
      </c>
      <c r="K278" s="16"/>
      <c r="L278" s="18">
        <v>8.2899999999999991</v>
      </c>
      <c r="M278" s="16"/>
      <c r="N278" s="16">
        <v>69.099999999999994</v>
      </c>
      <c r="O278" s="16"/>
      <c r="P278" s="16">
        <v>69.099999999999994</v>
      </c>
      <c r="Q278" s="19"/>
      <c r="R278" s="19"/>
      <c r="S278" s="19"/>
      <c r="T278" s="19">
        <v>3343</v>
      </c>
      <c r="U278" s="19">
        <v>3744</v>
      </c>
    </row>
    <row r="279" spans="1:21" s="7" customFormat="1" x14ac:dyDescent="0.35">
      <c r="A279" s="7" t="s">
        <v>39</v>
      </c>
      <c r="B279" s="20">
        <v>16.25</v>
      </c>
      <c r="C279" s="16">
        <v>137</v>
      </c>
      <c r="D279" s="16">
        <v>0.82499999999999996</v>
      </c>
      <c r="E279" s="16">
        <v>20.95</v>
      </c>
      <c r="F279" s="17">
        <v>14.5</v>
      </c>
      <c r="G279" s="17" t="s">
        <v>42</v>
      </c>
      <c r="H279" s="16" t="s">
        <v>16</v>
      </c>
      <c r="I279" s="18">
        <v>14.573</v>
      </c>
      <c r="J279" s="18">
        <v>16.399000000000001</v>
      </c>
      <c r="K279" s="16"/>
      <c r="L279" s="18">
        <v>8.3140000000000001</v>
      </c>
      <c r="M279" s="16"/>
      <c r="N279" s="16">
        <v>66.900000000000006</v>
      </c>
      <c r="O279" s="16"/>
      <c r="P279" s="16">
        <v>66.900000000000006</v>
      </c>
      <c r="Q279" s="19"/>
      <c r="R279" s="19"/>
      <c r="S279" s="19"/>
      <c r="T279" s="19">
        <v>3343</v>
      </c>
      <c r="U279" s="19">
        <v>3744</v>
      </c>
    </row>
    <row r="280" spans="1:21" s="21" customFormat="1" x14ac:dyDescent="0.35">
      <c r="B280" s="22"/>
      <c r="F280" s="23"/>
      <c r="G280" s="2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212C-DE71-4600-8B5A-8B047C8A0DD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6f3eafb-35cb-45d6-a8b8-2cf7305da5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C7BD3502B74143933E9FF8B303809D" ma:contentTypeVersion="14" ma:contentTypeDescription="Crie um novo documento." ma:contentTypeScope="" ma:versionID="ca4566403a48b772521af487c6dcc89b">
  <xsd:schema xmlns:xsd="http://www.w3.org/2001/XMLSchema" xmlns:xs="http://www.w3.org/2001/XMLSchema" xmlns:p="http://schemas.microsoft.com/office/2006/metadata/properties" xmlns:ns3="e6f3eafb-35cb-45d6-a8b8-2cf7305da5b0" xmlns:ns4="127f82bc-20a5-4893-838d-120db4595288" targetNamespace="http://schemas.microsoft.com/office/2006/metadata/properties" ma:root="true" ma:fieldsID="f4f9459af10a1f54b56fa50d6d80bae1" ns3:_="" ns4:_="">
    <xsd:import namespace="e6f3eafb-35cb-45d6-a8b8-2cf7305da5b0"/>
    <xsd:import namespace="127f82bc-20a5-4893-838d-120db459528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f3eafb-35cb-45d6-a8b8-2cf7305da5b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7f82bc-20a5-4893-838d-120db459528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9E616D-49B2-463C-8CB2-171BA13F16D3}">
  <ds:schemaRefs>
    <ds:schemaRef ds:uri="http://schemas.microsoft.com/office/2006/documentManagement/types"/>
    <ds:schemaRef ds:uri="http://purl.org/dc/elements/1.1/"/>
    <ds:schemaRef ds:uri="127f82bc-20a5-4893-838d-120db4595288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e6f3eafb-35cb-45d6-a8b8-2cf7305da5b0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657AC8E-10FC-40B3-949E-7B6780A595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D1925A-4B91-4339-B88B-4DA6E99CBF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f3eafb-35cb-45d6-a8b8-2cf7305da5b0"/>
    <ds:schemaRef ds:uri="127f82bc-20a5-4893-838d-120db45952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Duque Estrada Fernandes de Melo</dc:creator>
  <cp:keywords/>
  <dc:description/>
  <cp:lastModifiedBy>danielduquemelo</cp:lastModifiedBy>
  <cp:revision/>
  <dcterms:created xsi:type="dcterms:W3CDTF">2026-01-08T12:30:50Z</dcterms:created>
  <dcterms:modified xsi:type="dcterms:W3CDTF">2026-04-15T15:57:59Z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0x01010086C7BD3502B74143933E9FF8B303809D</vt:lpwstr>
  </property>
</Properties>
</file>